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A-原型冒烟" sheetId="2" state="visible" r:id="rId4"/>
    <sheet name="B-登录认证" sheetId="3" state="visible" r:id="rId5"/>
    <sheet name="C-租户隔离" sheetId="4" state="visible" r:id="rId6"/>
    <sheet name="D-Agent生命周期" sheetId="5" state="visible" r:id="rId7"/>
    <sheet name="E-数字员工对话" sheetId="6" state="visible" r:id="rId8"/>
    <sheet name="F-知识库RAG" sheetId="7" state="visible" r:id="rId9"/>
    <sheet name="G-SkillHub" sheetId="8" state="visible" r:id="rId10"/>
    <sheet name="H-工作流" sheetId="9" state="visible" r:id="rId11"/>
    <sheet name="I-成员租户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<sst xmlns="http://schemas.openxmlformats.org/spreadsheetml/2006/main" count="646" uniqueCount="405">
  <si>
    <r>
      <rPr>
        <b val="true"/>
        <sz val="14"/>
        <color rgb="FF1F3864"/>
        <rFont val="Arial"/>
        <family val="0"/>
        <charset val="1"/>
      </rPr>
      <t xml:space="preserve">AIPaddle E2E </t>
    </r>
    <r>
      <rPr>
        <b val="true"/>
        <sz val="14"/>
        <color rgb="FF1F3864"/>
        <rFont val="Noto Sans CJK SC"/>
        <family val="2"/>
      </rPr>
      <t xml:space="preserve">测试流程总览（按业务场景）</t>
    </r>
  </si>
  <si>
    <r>
      <rPr>
        <i val="true"/>
        <sz val="9"/>
        <color rgb="FF808080"/>
        <rFont val="Noto Sans CJK SC"/>
        <family val="2"/>
      </rPr>
      <t xml:space="preserve">依据：</t>
    </r>
    <r>
      <rPr>
        <i val="true"/>
        <sz val="9"/>
        <color rgb="FF808080"/>
        <rFont val="Arial"/>
        <family val="0"/>
        <charset val="1"/>
      </rPr>
      <t xml:space="preserve">PRD_Core_v1.04 · docs/test-cases/ </t>
    </r>
    <r>
      <rPr>
        <i val="true"/>
        <sz val="9"/>
        <color rgb="FF808080"/>
        <rFont val="Noto Sans CJK SC"/>
        <family val="2"/>
      </rPr>
      <t xml:space="preserve">用例库 </t>
    </r>
    <r>
      <rPr>
        <i val="true"/>
        <sz val="9"/>
        <color rgb="FF808080"/>
        <rFont val="Arial"/>
        <family val="0"/>
        <charset val="1"/>
      </rPr>
      <t xml:space="preserve">· tests/e2e/ </t>
    </r>
    <r>
      <rPr>
        <i val="true"/>
        <sz val="9"/>
        <color rgb="FF808080"/>
        <rFont val="Noto Sans CJK SC"/>
        <family val="2"/>
      </rPr>
      <t xml:space="preserve">可执行套件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生成日期 </t>
    </r>
    <r>
      <rPr>
        <i val="true"/>
        <sz val="9"/>
        <color rgb="FF808080"/>
        <rFont val="Arial"/>
        <family val="0"/>
        <charset val="1"/>
      </rPr>
      <t xml:space="preserve">2026-07-18</t>
    </r>
  </si>
  <si>
    <t xml:space="preserve">场景</t>
  </si>
  <si>
    <t xml:space="preserve">业务场景名称</t>
  </si>
  <si>
    <t xml:space="preserve">涉及菜单</t>
  </si>
  <si>
    <t xml:space="preserve">启用阶段</t>
  </si>
  <si>
    <r>
      <rPr>
        <b val="true"/>
        <sz val="11"/>
        <color rgb="FFFFFFFF"/>
        <rFont val="Noto Sans CJK SC"/>
        <family val="2"/>
      </rPr>
      <t xml:space="preserve">对应 </t>
    </r>
    <r>
      <rPr>
        <b val="true"/>
        <sz val="11"/>
        <color rgb="FFFFFFFF"/>
        <rFont val="Arial"/>
        <family val="0"/>
        <charset val="1"/>
      </rPr>
      <t xml:space="preserve">spec </t>
    </r>
    <r>
      <rPr>
        <b val="true"/>
        <sz val="11"/>
        <color rgb="FFFFFFFF"/>
        <rFont val="Noto Sans CJK SC"/>
        <family val="2"/>
      </rPr>
      <t xml:space="preserve">文件</t>
    </r>
  </si>
  <si>
    <t xml:space="preserve">用例设计文档</t>
  </si>
  <si>
    <r>
      <rPr>
        <b val="true"/>
        <sz val="11"/>
        <color rgb="FFFFFFFF"/>
        <rFont val="Noto Sans CJK SC"/>
        <family val="2"/>
      </rPr>
      <t xml:space="preserve">用例数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自动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</si>
  <si>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值比对通过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自动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</si>
  <si>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待测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自动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</si>
  <si>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A-</t>
    </r>
    <r>
      <rPr>
        <sz val="10"/>
        <rFont val="Noto Sans CJK SC"/>
        <family val="2"/>
      </rPr>
      <t xml:space="preserve">原型冒烟</t>
    </r>
  </si>
  <si>
    <t xml:space="preserve">原型导航冒烟：全部菜单入口可达</t>
  </si>
  <si>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个分组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工作台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平台管理</t>
    </r>
  </si>
  <si>
    <t xml:space="preserve">现在可跑</t>
  </si>
  <si>
    <t xml:space="preserve">tests/e2e/smoke.spec.ts</t>
  </si>
  <si>
    <t xml:space="preserve">TC-00</t>
  </si>
  <si>
    <r>
      <rPr>
        <sz val="10"/>
        <rFont val="Arial"/>
        <family val="0"/>
        <charset val="1"/>
      </rPr>
      <t xml:space="preserve">B-</t>
    </r>
    <r>
      <rPr>
        <sz val="10"/>
        <rFont val="Noto Sans CJK SC"/>
        <family val="2"/>
      </rPr>
      <t xml:space="preserve">登录认证</t>
    </r>
  </si>
  <si>
    <r>
      <rPr>
        <sz val="10"/>
        <rFont val="Noto Sans CJK SC"/>
        <family val="2"/>
      </rPr>
      <t xml:space="preserve">注册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登录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退出（认证闭环）</t>
    </r>
  </si>
  <si>
    <r>
      <rPr>
        <sz val="10"/>
        <rFont val="Noto Sans CJK SC"/>
        <family val="2"/>
      </rPr>
      <t xml:space="preserve">工作台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（未登录）</t>
    </r>
  </si>
  <si>
    <r>
      <rPr>
        <sz val="10"/>
        <rFont val="Noto Sans CJK SC"/>
        <family val="2"/>
      </rPr>
      <t xml:space="preserve">切片</t>
    </r>
    <r>
      <rPr>
        <sz val="10"/>
        <rFont val="Arial"/>
        <family val="0"/>
        <charset val="1"/>
      </rPr>
      <t xml:space="preserve">0</t>
    </r>
  </si>
  <si>
    <t xml:space="preserve">tests/e2e/stages/s0-foundation.spec.ts</t>
  </si>
  <si>
    <t xml:space="preserve">TC-S0 AUTH</t>
  </si>
  <si>
    <r>
      <rPr>
        <sz val="10"/>
        <rFont val="Arial"/>
        <family val="0"/>
        <charset val="1"/>
      </rPr>
      <t xml:space="preserve">C-</t>
    </r>
    <r>
      <rPr>
        <sz val="10"/>
        <rFont val="Noto Sans CJK SC"/>
        <family val="2"/>
      </rPr>
      <t xml:space="preserve">租户隔离</t>
    </r>
  </si>
  <si>
    <r>
      <rPr>
        <sz val="10"/>
        <rFont val="Noto Sans CJK SC"/>
        <family val="2"/>
      </rPr>
      <t xml:space="preserve">租户隔离专项（</t>
    </r>
    <r>
      <rPr>
        <sz val="10"/>
        <rFont val="Arial"/>
        <family val="0"/>
        <charset val="1"/>
      </rPr>
      <t xml:space="preserve">P0</t>
    </r>
    <r>
      <rPr>
        <sz val="10"/>
        <rFont val="Noto Sans CJK SC"/>
        <family val="2"/>
      </rPr>
      <t xml:space="preserve">：任何一条失败即停线）</t>
    </r>
  </si>
  <si>
    <r>
      <rPr>
        <sz val="10"/>
        <rFont val="Arial"/>
        <family val="0"/>
        <charset val="1"/>
      </rPr>
      <t xml:space="preserve">Agent / </t>
    </r>
    <r>
      <rPr>
        <sz val="10"/>
        <rFont val="Noto Sans CJK SC"/>
        <family val="2"/>
      </rPr>
      <t xml:space="preserve">安全与管理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知识库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（未登录）</t>
    </r>
  </si>
  <si>
    <t xml:space="preserve">TC-S0 ISO</t>
  </si>
  <si>
    <r>
      <rPr>
        <sz val="10"/>
        <rFont val="Arial"/>
        <family val="0"/>
        <charset val="1"/>
      </rPr>
      <t xml:space="preserve">D-Agent</t>
    </r>
    <r>
      <rPr>
        <sz val="10"/>
        <rFont val="Noto Sans CJK SC"/>
        <family val="2"/>
      </rPr>
      <t xml:space="preserve">生命周期</t>
    </r>
  </si>
  <si>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全生命周期：创建→审核→发布→下线（</t>
    </r>
    <r>
      <rPr>
        <sz val="10"/>
        <rFont val="Arial"/>
        <family val="0"/>
        <charset val="1"/>
      </rPr>
      <t xml:space="preserve">PRD 4.1 </t>
    </r>
    <r>
      <rPr>
        <sz val="10"/>
        <rFont val="Noto Sans CJK SC"/>
        <family val="2"/>
      </rPr>
      <t xml:space="preserve">流程）</t>
    </r>
  </si>
  <si>
    <r>
      <rPr>
        <sz val="10"/>
        <rFont val="Arial"/>
        <family val="0"/>
        <charset val="1"/>
      </rPr>
      <t xml:space="preserve">Agent / </t>
    </r>
    <r>
      <rPr>
        <sz val="10"/>
        <rFont val="Noto Sans CJK SC"/>
        <family val="2"/>
      </rPr>
      <t xml:space="preserve">安全与管理</t>
    </r>
  </si>
  <si>
    <r>
      <rPr>
        <sz val="10"/>
        <rFont val="Noto Sans CJK SC"/>
        <family val="2"/>
      </rPr>
      <t xml:space="preserve">切片</t>
    </r>
    <r>
      <rPr>
        <sz val="10"/>
        <rFont val="Arial"/>
        <family val="0"/>
        <charset val="1"/>
      </rPr>
      <t xml:space="preserve">1</t>
    </r>
  </si>
  <si>
    <t xml:space="preserve">tests/e2e/stages/s1-agent.spec.ts</t>
  </si>
  <si>
    <t xml:space="preserve">TC-S1 CRUD/STM/REV</t>
  </si>
  <si>
    <r>
      <rPr>
        <sz val="10"/>
        <rFont val="Arial"/>
        <family val="0"/>
        <charset val="1"/>
      </rPr>
      <t xml:space="preserve">E-</t>
    </r>
    <r>
      <rPr>
        <sz val="10"/>
        <rFont val="Noto Sans CJK SC"/>
        <family val="2"/>
      </rPr>
      <t xml:space="preserve">数字员工对话</t>
    </r>
  </si>
  <si>
    <t xml:space="preserve">数字员工对话与调用日志（真实大模型）</t>
  </si>
  <si>
    <t xml:space="preserve">Agent</t>
  </si>
  <si>
    <t xml:space="preserve">TC-S1 CHAT/LOG</t>
  </si>
  <si>
    <r>
      <rPr>
        <sz val="10"/>
        <rFont val="Arial"/>
        <family val="0"/>
        <charset val="1"/>
      </rPr>
      <t xml:space="preserve">F-</t>
    </r>
    <r>
      <rPr>
        <sz val="10"/>
        <rFont val="Noto Sans CJK SC"/>
        <family val="2"/>
      </rPr>
      <t xml:space="preserve">知识库</t>
    </r>
    <r>
      <rPr>
        <sz val="10"/>
        <rFont val="Arial"/>
        <family val="0"/>
        <charset val="1"/>
      </rPr>
      <t xml:space="preserve">RAG</t>
    </r>
  </si>
  <si>
    <r>
      <rPr>
        <sz val="10"/>
        <rFont val="Noto Sans CJK SC"/>
        <family val="2"/>
      </rPr>
      <t xml:space="preserve">知识库上传→检索→</t>
    </r>
    <r>
      <rPr>
        <sz val="10"/>
        <rFont val="Arial"/>
        <family val="0"/>
        <charset val="1"/>
      </rPr>
      <t xml:space="preserve">RAG </t>
    </r>
    <r>
      <rPr>
        <sz val="10"/>
        <rFont val="Noto Sans CJK SC"/>
        <family val="2"/>
      </rPr>
      <t xml:space="preserve">问答（含计算结果比对）</t>
    </r>
  </si>
  <si>
    <r>
      <rPr>
        <sz val="10"/>
        <rFont val="Arial"/>
        <family val="0"/>
        <charset val="1"/>
      </rPr>
      <t xml:space="preserve">Agent / </t>
    </r>
    <r>
      <rPr>
        <sz val="10"/>
        <rFont val="Noto Sans CJK SC"/>
        <family val="2"/>
      </rPr>
      <t xml:space="preserve">知识库</t>
    </r>
  </si>
  <si>
    <r>
      <rPr>
        <sz val="10"/>
        <rFont val="Noto Sans CJK SC"/>
        <family val="2"/>
      </rPr>
      <t xml:space="preserve">切片</t>
    </r>
    <r>
      <rPr>
        <sz val="10"/>
        <rFont val="Arial"/>
        <family val="0"/>
        <charset val="1"/>
      </rPr>
      <t xml:space="preserve">2</t>
    </r>
  </si>
  <si>
    <t xml:space="preserve">tests/e2e/stages/s2-knowledge.spec.ts</t>
  </si>
  <si>
    <t xml:space="preserve">TC-S2</t>
  </si>
  <si>
    <t xml:space="preserve">G-SkillHub</t>
  </si>
  <si>
    <r>
      <rPr>
        <sz val="10"/>
        <rFont val="Arial"/>
        <family val="0"/>
        <charset val="1"/>
      </rPr>
      <t xml:space="preserve">Skill </t>
    </r>
    <r>
      <rPr>
        <sz val="10"/>
        <rFont val="Noto Sans CJK SC"/>
        <family val="2"/>
      </rPr>
      <t xml:space="preserve">市场：创建→审核→安装（五类型）</t>
    </r>
  </si>
  <si>
    <r>
      <rPr>
        <sz val="10"/>
        <rFont val="Arial"/>
        <family val="0"/>
        <charset val="1"/>
      </rPr>
      <t xml:space="preserve">Skill / </t>
    </r>
    <r>
      <rPr>
        <sz val="10"/>
        <rFont val="Noto Sans CJK SC"/>
        <family val="2"/>
      </rPr>
      <t xml:space="preserve">安全与管理</t>
    </r>
  </si>
  <si>
    <r>
      <rPr>
        <sz val="10"/>
        <rFont val="Noto Sans CJK SC"/>
        <family val="2"/>
      </rPr>
      <t xml:space="preserve">切片</t>
    </r>
    <r>
      <rPr>
        <sz val="10"/>
        <rFont val="Arial"/>
        <family val="0"/>
        <charset val="1"/>
      </rPr>
      <t xml:space="preserve">3</t>
    </r>
  </si>
  <si>
    <t xml:space="preserve">tests/e2e/stages/s3-s5-later.spec.ts</t>
  </si>
  <si>
    <t xml:space="preserve">TC-S3</t>
  </si>
  <si>
    <r>
      <rPr>
        <sz val="10"/>
        <rFont val="Arial"/>
        <family val="0"/>
        <charset val="1"/>
      </rPr>
      <t xml:space="preserve">H-</t>
    </r>
    <r>
      <rPr>
        <sz val="10"/>
        <rFont val="Noto Sans CJK SC"/>
        <family val="2"/>
      </rPr>
      <t xml:space="preserve">工作流</t>
    </r>
  </si>
  <si>
    <t xml:space="preserve">工作流：画布编辑→保存→执行（最小引擎）</t>
  </si>
  <si>
    <t xml:space="preserve">工作流</t>
  </si>
  <si>
    <r>
      <rPr>
        <sz val="10"/>
        <rFont val="Noto Sans CJK SC"/>
        <family val="2"/>
      </rPr>
      <t xml:space="preserve">切片</t>
    </r>
    <r>
      <rPr>
        <sz val="10"/>
        <rFont val="Arial"/>
        <family val="0"/>
        <charset val="1"/>
      </rPr>
      <t xml:space="preserve">4</t>
    </r>
  </si>
  <si>
    <t xml:space="preserve">TC-S4</t>
  </si>
  <si>
    <r>
      <rPr>
        <sz val="10"/>
        <rFont val="Arial"/>
        <family val="0"/>
        <charset val="1"/>
      </rPr>
      <t xml:space="preserve">I-</t>
    </r>
    <r>
      <rPr>
        <sz val="10"/>
        <rFont val="Noto Sans CJK SC"/>
        <family val="2"/>
      </rPr>
      <t xml:space="preserve">成员租户</t>
    </r>
  </si>
  <si>
    <r>
      <rPr>
        <sz val="10"/>
        <rFont val="Noto Sans CJK SC"/>
        <family val="2"/>
      </rPr>
      <t xml:space="preserve">成员管理与租户开通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停用</t>
    </r>
  </si>
  <si>
    <r>
      <rPr>
        <sz val="10"/>
        <rFont val="Noto Sans CJK SC"/>
        <family val="2"/>
      </rPr>
      <t xml:space="preserve">安全与管理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平台管理</t>
    </r>
  </si>
  <si>
    <r>
      <rPr>
        <sz val="10"/>
        <rFont val="Noto Sans CJK SC"/>
        <family val="2"/>
      </rPr>
      <t xml:space="preserve">切片</t>
    </r>
    <r>
      <rPr>
        <sz val="10"/>
        <rFont val="Arial"/>
        <family val="0"/>
        <charset val="1"/>
      </rPr>
      <t xml:space="preserve">5</t>
    </r>
  </si>
  <si>
    <t xml:space="preserve">TC-S5</t>
  </si>
  <si>
    <t xml:space="preserve">合计</t>
  </si>
  <si>
    <t xml:space="preserve">图例：</t>
  </si>
  <si>
    <r>
      <rPr>
        <i val="true"/>
        <sz val="9"/>
        <color rgb="FF808080"/>
        <rFont val="Noto Sans CJK SC"/>
        <family val="2"/>
      </rPr>
      <t xml:space="preserve">黄色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测试执行后需人工填写（交互比对、实际值）；「值比对」列自动计算：实际值与预期一致→✅ 通过，不一致→❌ 不一致，未填→待测</t>
    </r>
  </si>
  <si>
    <r>
      <rPr>
        <i val="true"/>
        <sz val="9"/>
        <color rgb="FF808080"/>
        <rFont val="Noto Sans CJK SC"/>
        <family val="2"/>
      </rPr>
      <t xml:space="preserve">运行方式：</t>
    </r>
    <r>
      <rPr>
        <i val="true"/>
        <sz val="9"/>
        <color rgb="FF808080"/>
        <rFont val="Arial"/>
        <family val="0"/>
        <charset val="1"/>
      </rPr>
      <t xml:space="preserve">E2E_STAGE=&lt;</t>
    </r>
    <r>
      <rPr>
        <i val="true"/>
        <sz val="9"/>
        <color rgb="FF808080"/>
        <rFont val="Noto Sans CJK SC"/>
        <family val="2"/>
      </rPr>
      <t xml:space="preserve">切片号</t>
    </r>
    <r>
      <rPr>
        <i val="true"/>
        <sz val="9"/>
        <color rgb="FF808080"/>
        <rFont val="Arial"/>
        <family val="0"/>
        <charset val="1"/>
      </rPr>
      <t xml:space="preserve">&gt; pnpm test:e2e</t>
    </r>
    <r>
      <rPr>
        <i val="true"/>
        <sz val="9"/>
        <color rgb="FF808080"/>
        <rFont val="Noto Sans CJK SC"/>
        <family val="2"/>
      </rPr>
      <t xml:space="preserve">（未到阶段的场景自动跳过）</t>
    </r>
  </si>
  <si>
    <t xml:space="preserve">业务场景：原型导航冒烟：全部菜单入口可达</t>
  </si>
  <si>
    <r>
      <rPr>
        <i val="true"/>
        <sz val="9"/>
        <color rgb="FF808080"/>
        <rFont val="Noto Sans CJK SC"/>
        <family val="2"/>
      </rPr>
      <t xml:space="preserve">启用阶段：现在可跑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可执行实现：</t>
    </r>
    <r>
      <rPr>
        <i val="true"/>
        <sz val="9"/>
        <color rgb="FF808080"/>
        <rFont val="Arial"/>
        <family val="0"/>
        <charset val="1"/>
      </rPr>
      <t xml:space="preserve">tests/e2e/smoke.spec.ts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用例设计：</t>
    </r>
    <r>
      <rPr>
        <i val="true"/>
        <sz val="9"/>
        <color rgb="FF808080"/>
        <rFont val="Arial"/>
        <family val="0"/>
        <charset val="1"/>
      </rPr>
      <t xml:space="preserve">docs/test-cases/TC-00</t>
    </r>
  </si>
  <si>
    <t xml:space="preserve">一、测试流程（菜单 → 页面 → 功能 → 操作顺序）</t>
  </si>
  <si>
    <t xml:space="preserve">步骤</t>
  </si>
  <si>
    <t xml:space="preserve">菜单（侧边栏分组）</t>
  </si>
  <si>
    <t xml:space="preserve">页面</t>
  </si>
  <si>
    <r>
      <rPr>
        <b val="true"/>
        <sz val="11"/>
        <color rgb="FFFFFFFF"/>
        <rFont val="Noto Sans CJK SC"/>
        <family val="2"/>
      </rPr>
      <t xml:space="preserve">功能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控件</t>
    </r>
  </si>
  <si>
    <t xml:space="preserve">操作与顺序</t>
  </si>
  <si>
    <t xml:space="preserve">使用的测试数据</t>
  </si>
  <si>
    <t xml:space="preserve">工作台</t>
  </si>
  <si>
    <t xml:space="preserve">首页</t>
  </si>
  <si>
    <t xml:space="preserve">应用启动</t>
  </si>
  <si>
    <r>
      <rPr>
        <sz val="10"/>
        <rFont val="Arial"/>
        <family val="0"/>
        <charset val="1"/>
      </rPr>
      <t xml:space="preserve">pnpm dev </t>
    </r>
    <r>
      <rPr>
        <sz val="10"/>
        <rFont val="Noto Sans CJK SC"/>
        <family val="2"/>
      </rPr>
      <t xml:space="preserve">启动，打开 </t>
    </r>
    <r>
      <rPr>
        <sz val="10"/>
        <rFont val="Arial"/>
        <family val="0"/>
        <charset val="1"/>
      </rPr>
      <t xml:space="preserve">http://localhost:3000</t>
    </r>
  </si>
  <si>
    <t xml:space="preserve">—</t>
  </si>
  <si>
    <t xml:space="preserve">监控</t>
  </si>
  <si>
    <t xml:space="preserve">顶栏标题</t>
  </si>
  <si>
    <t xml:space="preserve">确认默认落在「监控」页，顶栏标题正确</t>
  </si>
  <si>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个分组</t>
    </r>
  </si>
  <si>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个页面</t>
    </r>
  </si>
  <si>
    <t xml:space="preserve">侧边栏导航</t>
  </si>
  <si>
    <r>
      <rPr>
        <sz val="10"/>
        <rFont val="Noto Sans CJK SC"/>
        <family val="2"/>
      </rPr>
      <t xml:space="preserve">按 工作台→</t>
    </r>
    <r>
      <rPr>
        <sz val="10"/>
        <rFont val="Arial"/>
        <family val="0"/>
        <charset val="1"/>
      </rPr>
      <t xml:space="preserve">Agent→Skill→</t>
    </r>
    <r>
      <rPr>
        <sz val="10"/>
        <rFont val="Noto Sans CJK SC"/>
        <family val="2"/>
      </rPr>
      <t xml:space="preserve">知识库→工作流→安全与管理→平台管理 顺序，逐组展开并点击每个入口</t>
    </r>
  </si>
  <si>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个入口清单见 </t>
    </r>
    <r>
      <rPr>
        <sz val="10"/>
        <rFont val="Arial"/>
        <family val="0"/>
        <charset val="1"/>
      </rPr>
      <t xml:space="preserve">smoke.spec.ts NAV_ITEMS</t>
    </r>
  </si>
  <si>
    <t xml:space="preserve">平台管理</t>
  </si>
  <si>
    <r>
      <rPr>
        <sz val="10"/>
        <rFont val="Arial"/>
        <family val="0"/>
        <charset val="1"/>
      </rPr>
      <t xml:space="preserve">Key </t>
    </r>
    <r>
      <rPr>
        <sz val="10"/>
        <rFont val="Noto Sans CJK SC"/>
        <family val="2"/>
      </rPr>
      <t xml:space="preserve">管理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账单管理</t>
    </r>
  </si>
  <si>
    <t xml:space="preserve">占位页</t>
  </si>
  <si>
    <t xml:space="preserve">点击后确认显示「功能开发中」</t>
  </si>
  <si>
    <t xml:space="preserve">全局</t>
  </si>
  <si>
    <t xml:space="preserve">用户菜单</t>
  </si>
  <si>
    <r>
      <rPr>
        <sz val="10"/>
        <rFont val="Noto Sans CJK SC"/>
        <family val="2"/>
      </rPr>
      <t xml:space="preserve">点击左下角用户头像 → 切换明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暗主题</t>
    </r>
  </si>
  <si>
    <r>
      <rPr>
        <sz val="10"/>
        <rFont val="Noto Sans CJK SC"/>
        <family val="2"/>
      </rPr>
      <t xml:space="preserve">用户：陈雪（</t>
    </r>
    <r>
      <rPr>
        <sz val="10"/>
        <rFont val="Arial"/>
        <family val="0"/>
        <charset val="1"/>
      </rPr>
      <t xml:space="preserve">mock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</si>
  <si>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1F3864"/>
        <rFont val="Noto Sans CJK SC"/>
        <family val="2"/>
      </rPr>
      <t xml:space="preserve">二、测试用例（预期 </t>
    </r>
    <r>
      <rPr>
        <b val="true"/>
        <sz val="11"/>
        <color rgb="FF1F3864"/>
        <rFont val="Arial"/>
        <family val="0"/>
        <charset val="1"/>
      </rPr>
      <t xml:space="preserve">vs </t>
    </r>
    <r>
      <rPr>
        <b val="true"/>
        <sz val="11"/>
        <color rgb="FF1F3864"/>
        <rFont val="Noto Sans CJK SC"/>
        <family val="2"/>
      </rPr>
      <t xml:space="preserve">实际比对）</t>
    </r>
  </si>
  <si>
    <r>
      <rPr>
        <b val="true"/>
        <sz val="11"/>
        <color rgb="FFFFFFFF"/>
        <rFont val="Noto Sans CJK SC"/>
        <family val="2"/>
      </rPr>
      <t xml:space="preserve">用例</t>
    </r>
    <r>
      <rPr>
        <b val="true"/>
        <sz val="11"/>
        <color rgb="FFFFFFFF"/>
        <rFont val="Arial"/>
        <family val="0"/>
        <charset val="1"/>
      </rPr>
      <t xml:space="preserve">ID</t>
    </r>
  </si>
  <si>
    <r>
      <rPr>
        <b val="true"/>
        <sz val="11"/>
        <color rgb="FFFFFFFF"/>
        <rFont val="Noto Sans CJK SC"/>
        <family val="2"/>
      </rPr>
      <t xml:space="preserve">输入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测试数据</t>
    </r>
  </si>
  <si>
    <t xml:space="preserve">预期用户交互结果（界面）</t>
  </si>
  <si>
    <r>
      <rPr>
        <b val="true"/>
        <sz val="11"/>
        <color rgb="FFFFFFFF"/>
        <rFont val="Noto Sans CJK SC"/>
        <family val="2"/>
      </rPr>
      <t xml:space="preserve">交互比对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待填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</si>
  <si>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预期计算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数据值</t>
    </r>
  </si>
  <si>
    <r>
      <rPr>
        <b val="true"/>
        <sz val="11"/>
        <color rgb="FFFFFFFF"/>
        <rFont val="Noto Sans CJK SC"/>
        <family val="2"/>
      </rPr>
      <t xml:space="preserve">实际值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测试后填入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</si>
  <si>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值比对（自动）</t>
  </si>
  <si>
    <t xml:space="preserve">TC-A1</t>
  </si>
  <si>
    <r>
      <rPr>
        <sz val="10"/>
        <rFont val="Noto Sans CJK SC"/>
        <family val="2"/>
      </rPr>
      <t xml:space="preserve">点击 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分组 → 「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管理」</t>
    </r>
  </si>
  <si>
    <r>
      <rPr>
        <sz val="10"/>
        <rFont val="Noto Sans CJK SC"/>
        <family val="2"/>
      </rPr>
      <t xml:space="preserve">页面渲染 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列表，无白屏无报错</t>
    </r>
  </si>
  <si>
    <t xml:space="preserve">待测</t>
  </si>
  <si>
    <r>
      <rPr>
        <sz val="10"/>
        <rFont val="Noto Sans CJK SC"/>
        <family val="2"/>
      </rPr>
      <t xml:space="preserve">顶栏标题文本：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管理</t>
    </r>
  </si>
  <si>
    <t xml:space="preserve">TC-A2</t>
  </si>
  <si>
    <r>
      <rPr>
        <sz val="10"/>
        <rFont val="Noto Sans CJK SC"/>
        <family val="2"/>
      </rPr>
      <t xml:space="preserve">点击 平台管理 分组 → 「</t>
    </r>
    <r>
      <rPr>
        <sz val="10"/>
        <rFont val="Arial"/>
        <family val="0"/>
        <charset val="1"/>
      </rPr>
      <t xml:space="preserve">Key </t>
    </r>
    <r>
      <rPr>
        <sz val="10"/>
        <rFont val="Noto Sans CJK SC"/>
        <family val="2"/>
      </rPr>
      <t xml:space="preserve">管理」</t>
    </r>
  </si>
  <si>
    <t xml:space="preserve">显示开发中占位页</t>
  </si>
  <si>
    <t xml:space="preserve">主内容区提示文本：功能开发中</t>
  </si>
  <si>
    <t xml:space="preserve">TC-A3</t>
  </si>
  <si>
    <t xml:space="preserve">遍历侧边栏全部入口</t>
  </si>
  <si>
    <r>
      <rPr>
        <sz val="10"/>
        <rFont val="Noto Sans CJK SC"/>
        <family val="2"/>
      </rPr>
      <t xml:space="preserve">每页均正常渲染，控制台无 </t>
    </r>
    <r>
      <rPr>
        <sz val="10"/>
        <rFont val="Arial"/>
        <family val="0"/>
        <charset val="1"/>
      </rPr>
      <t xml:space="preserve">error</t>
    </r>
  </si>
  <si>
    <r>
      <rPr>
        <sz val="10"/>
        <rFont val="Noto Sans CJK SC"/>
        <family val="2"/>
      </rPr>
      <t xml:space="preserve">可达入口数量：</t>
    </r>
    <r>
      <rPr>
        <sz val="10"/>
        <rFont val="Arial"/>
        <family val="0"/>
        <charset val="1"/>
      </rPr>
      <t xml:space="preserve">15</t>
    </r>
  </si>
  <si>
    <t xml:space="preserve">TC-A4</t>
  </si>
  <si>
    <t xml:space="preserve">用户菜单 → 切换主题</t>
  </si>
  <si>
    <t xml:space="preserve">全局配色切换，内容仍可读</t>
  </si>
  <si>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元素 </t>
    </r>
    <r>
      <rPr>
        <sz val="10"/>
        <rFont val="Arial"/>
        <family val="0"/>
        <charset val="1"/>
      </rPr>
      <t xml:space="preserve">dark class </t>
    </r>
    <r>
      <rPr>
        <sz val="10"/>
        <rFont val="Noto Sans CJK SC"/>
        <family val="2"/>
      </rPr>
      <t xml:space="preserve">变化：已切换</t>
    </r>
  </si>
  <si>
    <r>
      <rPr>
        <i val="true"/>
        <sz val="9"/>
        <color rgb="FF808080"/>
        <rFont val="Noto Sans CJK SC"/>
        <family val="2"/>
      </rPr>
      <t xml:space="preserve">说明：「实际值」按「预期计算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数据值」冒号后的格式填写（如 </t>
    </r>
    <r>
      <rPr>
        <i val="true"/>
        <sz val="9"/>
        <color rgb="FF808080"/>
        <rFont val="Arial"/>
        <family val="0"/>
        <charset val="1"/>
      </rPr>
      <t xml:space="preserve">599;899</t>
    </r>
    <r>
      <rPr>
        <i val="true"/>
        <sz val="9"/>
        <color rgb="FF808080"/>
        <rFont val="Noto Sans CJK SC"/>
        <family val="2"/>
      </rPr>
      <t xml:space="preserve">、</t>
    </r>
    <r>
      <rPr>
        <i val="true"/>
        <sz val="9"/>
        <color rgb="FF808080"/>
        <rFont val="Arial"/>
        <family val="0"/>
        <charset val="1"/>
      </rPr>
      <t xml:space="preserve">N+1 </t>
    </r>
    <r>
      <rPr>
        <i val="true"/>
        <sz val="9"/>
        <color rgb="FF808080"/>
        <rFont val="Noto Sans CJK SC"/>
        <family val="2"/>
      </rPr>
      <t xml:space="preserve">按实测数字换算后填与预期同格式的结果）；填入后「值比对」自动判定。「交互比对」由测试人下拉选择。</t>
    </r>
  </si>
  <si>
    <r>
      <rPr>
        <b val="true"/>
        <sz val="14"/>
        <color rgb="FF1F3864"/>
        <rFont val="Noto Sans CJK SC"/>
        <family val="2"/>
      </rPr>
      <t xml:space="preserve">业务场景：注册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</rPr>
      <t xml:space="preserve">登录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</rPr>
      <t xml:space="preserve">退出（认证闭环）</t>
    </r>
  </si>
  <si>
    <r>
      <rPr>
        <i val="true"/>
        <sz val="9"/>
        <color rgb="FF808080"/>
        <rFont val="Noto Sans CJK SC"/>
        <family val="2"/>
      </rPr>
      <t xml:space="preserve">启用阶段：切片</t>
    </r>
    <r>
      <rPr>
        <i val="true"/>
        <sz val="9"/>
        <color rgb="FF808080"/>
        <rFont val="Arial"/>
        <family val="0"/>
        <charset val="1"/>
      </rPr>
      <t xml:space="preserve">0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可执行实现：</t>
    </r>
    <r>
      <rPr>
        <i val="true"/>
        <sz val="9"/>
        <color rgb="FF808080"/>
        <rFont val="Arial"/>
        <family val="0"/>
        <charset val="1"/>
      </rPr>
      <t xml:space="preserve">tests/e2e/stages/s0-foundation.spec.ts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用例设计：</t>
    </r>
    <r>
      <rPr>
        <i val="true"/>
        <sz val="9"/>
        <color rgb="FF808080"/>
        <rFont val="Arial"/>
        <family val="0"/>
        <charset val="1"/>
      </rPr>
      <t xml:space="preserve">docs/test-cases/TC-S0 AUTH</t>
    </r>
  </si>
  <si>
    <t xml:space="preserve">（未登录）</t>
  </si>
  <si>
    <r>
      <rPr>
        <sz val="10"/>
        <rFont val="Arial"/>
        <family val="0"/>
        <charset val="1"/>
      </rPr>
      <t xml:space="preserve">/register </t>
    </r>
    <r>
      <rPr>
        <sz val="10"/>
        <rFont val="Noto Sans CJK SC"/>
        <family val="2"/>
      </rPr>
      <t xml:space="preserve">注册页</t>
    </r>
  </si>
  <si>
    <t xml:space="preserve">注册表单</t>
  </si>
  <si>
    <t xml:space="preserve">① 打开注册页 ② 填邮箱 ③ 填密码 ④ 点击「注册」</t>
  </si>
  <si>
    <r>
      <rPr>
        <sz val="10"/>
        <rFont val="Arial"/>
        <family val="0"/>
        <charset val="1"/>
      </rPr>
      <t xml:space="preserve">e2e.reg.&lt;</t>
    </r>
    <r>
      <rPr>
        <sz val="10"/>
        <rFont val="Noto Sans CJK SC"/>
        <family val="2"/>
      </rPr>
      <t xml:space="preserve">时间戳</t>
    </r>
    <r>
      <rPr>
        <sz val="10"/>
        <rFont val="Arial"/>
        <family val="0"/>
        <charset val="1"/>
      </rPr>
      <t xml:space="preserve">&gt;@aipaddle-test.local</t>
    </r>
  </si>
  <si>
    <r>
      <rPr>
        <sz val="10"/>
        <rFont val="Arial"/>
        <family val="0"/>
        <charset val="1"/>
      </rPr>
      <t xml:space="preserve">/login </t>
    </r>
    <r>
      <rPr>
        <sz val="10"/>
        <rFont val="Noto Sans CJK SC"/>
        <family val="2"/>
      </rPr>
      <t xml:space="preserve">登录页</t>
    </r>
  </si>
  <si>
    <t xml:space="preserve">登录表单</t>
  </si>
  <si>
    <t xml:space="preserve">⑤ 填邮箱密码 ⑥ 点击「登录」</t>
  </si>
  <si>
    <t xml:space="preserve">admin.a@aipaddle-test.local / E2e!AdminA_2026</t>
  </si>
  <si>
    <r>
      <rPr>
        <sz val="10"/>
        <rFont val="Noto Sans CJK SC"/>
        <family val="2"/>
      </rPr>
      <t xml:space="preserve">监控 </t>
    </r>
    <r>
      <rPr>
        <sz val="10"/>
        <rFont val="Arial"/>
        <family val="0"/>
        <charset val="1"/>
      </rPr>
      <t xml:space="preserve">Dashboard</t>
    </r>
  </si>
  <si>
    <t xml:space="preserve">登录态校验</t>
  </si>
  <si>
    <r>
      <rPr>
        <sz val="10"/>
        <rFont val="Noto Sans CJK SC"/>
        <family val="2"/>
      </rPr>
      <t xml:space="preserve">⑦ 确认跳转 </t>
    </r>
    <r>
      <rPr>
        <sz val="10"/>
        <rFont val="Arial"/>
        <family val="0"/>
        <charset val="1"/>
      </rPr>
      <t xml:space="preserve">Dashboard</t>
    </r>
    <r>
      <rPr>
        <sz val="10"/>
        <rFont val="Noto Sans CJK SC"/>
        <family val="2"/>
      </rPr>
      <t xml:space="preserve">，左下角显示用户名</t>
    </r>
  </si>
  <si>
    <t xml:space="preserve">期望显示：陈雪</t>
  </si>
  <si>
    <t xml:space="preserve">用户菜单→退出登录</t>
  </si>
  <si>
    <r>
      <rPr>
        <sz val="10"/>
        <rFont val="Noto Sans CJK SC"/>
        <family val="2"/>
      </rPr>
      <t xml:space="preserve">⑧ 退出 ⑨ 直接访问首页 </t>
    </r>
    <r>
      <rPr>
        <sz val="10"/>
        <rFont val="Arial"/>
        <family val="0"/>
        <charset val="1"/>
      </rPr>
      <t xml:space="preserve">URL</t>
    </r>
  </si>
  <si>
    <t xml:space="preserve">/login</t>
  </si>
  <si>
    <t xml:space="preserve">路由守卫</t>
  </si>
  <si>
    <t xml:space="preserve">⑩ 确认被踢回登录页</t>
  </si>
  <si>
    <t xml:space="preserve">TC-B1</t>
  </si>
  <si>
    <r>
      <rPr>
        <sz val="10"/>
        <rFont val="Noto Sans CJK SC"/>
        <family val="2"/>
      </rPr>
      <t xml:space="preserve">正确凭证：</t>
    </r>
    <r>
      <rPr>
        <sz val="10"/>
        <rFont val="Arial"/>
        <family val="0"/>
        <charset val="1"/>
      </rPr>
      <t xml:space="preserve">admin.a@aipaddle-test.local / E2e!AdminA_2026</t>
    </r>
  </si>
  <si>
    <r>
      <rPr>
        <sz val="10"/>
        <rFont val="Noto Sans CJK SC"/>
        <family val="2"/>
      </rPr>
      <t xml:space="preserve">跳转 </t>
    </r>
    <r>
      <rPr>
        <sz val="10"/>
        <rFont val="Arial"/>
        <family val="0"/>
        <charset val="1"/>
      </rPr>
      <t xml:space="preserve">Dashboard</t>
    </r>
    <r>
      <rPr>
        <sz val="10"/>
        <rFont val="Noto Sans CJK SC"/>
        <family val="2"/>
      </rPr>
      <t xml:space="preserve">，用户菜单显示姓名</t>
    </r>
  </si>
  <si>
    <t xml:space="preserve">用户菜单显示名：陈雪</t>
  </si>
  <si>
    <t xml:space="preserve">TC-B2</t>
  </si>
  <si>
    <r>
      <rPr>
        <sz val="10"/>
        <rFont val="Noto Sans CJK SC"/>
        <family val="2"/>
      </rPr>
      <t xml:space="preserve">错误密码：</t>
    </r>
    <r>
      <rPr>
        <sz val="10"/>
        <rFont val="Arial"/>
        <family val="0"/>
        <charset val="1"/>
      </rPr>
      <t xml:space="preserve">admin.a@aipaddle-test.local / wrong-password</t>
    </r>
  </si>
  <si>
    <t xml:space="preserve">停留登录页并提示错误</t>
  </si>
  <si>
    <t xml:space="preserve">错误提示关键词：密码错误</t>
  </si>
  <si>
    <t xml:space="preserve">TC-B3</t>
  </si>
  <si>
    <r>
      <rPr>
        <sz val="10"/>
        <rFont val="Noto Sans CJK SC"/>
        <family val="2"/>
      </rPr>
      <t xml:space="preserve">非法邮箱：</t>
    </r>
    <r>
      <rPr>
        <sz val="10"/>
        <rFont val="Arial"/>
        <family val="0"/>
        <charset val="1"/>
      </rPr>
      <t xml:space="preserve">not-an-email / x</t>
    </r>
  </si>
  <si>
    <t xml:space="preserve">前端校验拦截，不发请求</t>
  </si>
  <si>
    <t xml:space="preserve">错误提示关键词：邮箱格式</t>
  </si>
  <si>
    <t xml:space="preserve">TC-B4</t>
  </si>
  <si>
    <r>
      <rPr>
        <sz val="10"/>
        <rFont val="Noto Sans CJK SC"/>
        <family val="2"/>
      </rPr>
      <t xml:space="preserve">重复注册已存在邮箱 </t>
    </r>
    <r>
      <rPr>
        <sz val="10"/>
        <rFont val="Arial"/>
        <family val="0"/>
        <charset val="1"/>
      </rPr>
      <t xml:space="preserve">admin.a@aipaddle-test.local</t>
    </r>
  </si>
  <si>
    <t xml:space="preserve">注册被拒并提示</t>
  </si>
  <si>
    <t xml:space="preserve">错误提示关键词：已注册</t>
  </si>
  <si>
    <t xml:space="preserve">TC-B5</t>
  </si>
  <si>
    <r>
      <rPr>
        <sz val="10"/>
        <rFont val="Noto Sans CJK SC"/>
        <family val="2"/>
      </rPr>
      <t xml:space="preserve">退出后直接访问受保护页 </t>
    </r>
    <r>
      <rPr>
        <sz val="10"/>
        <rFont val="Arial"/>
        <family val="0"/>
        <charset val="1"/>
      </rPr>
      <t xml:space="preserve">/</t>
    </r>
  </si>
  <si>
    <t xml:space="preserve">被重定向</t>
  </si>
  <si>
    <r>
      <rPr>
        <sz val="10"/>
        <rFont val="Noto Sans CJK SC"/>
        <family val="2"/>
      </rPr>
      <t xml:space="preserve">落地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包含：</t>
    </r>
    <r>
      <rPr>
        <sz val="10"/>
        <rFont val="Arial"/>
        <family val="0"/>
        <charset val="1"/>
      </rPr>
      <t xml:space="preserve">/login</t>
    </r>
  </si>
  <si>
    <r>
      <rPr>
        <b val="true"/>
        <sz val="14"/>
        <color rgb="FF1F3864"/>
        <rFont val="Noto Sans CJK SC"/>
        <family val="2"/>
      </rPr>
      <t xml:space="preserve">业务场景：租户隔离专项（</t>
    </r>
    <r>
      <rPr>
        <b val="true"/>
        <sz val="14"/>
        <color rgb="FF1F3864"/>
        <rFont val="Arial"/>
        <family val="0"/>
        <charset val="1"/>
      </rPr>
      <t xml:space="preserve">P0</t>
    </r>
    <r>
      <rPr>
        <b val="true"/>
        <sz val="14"/>
        <color rgb="FF1F3864"/>
        <rFont val="Noto Sans CJK SC"/>
        <family val="2"/>
      </rPr>
      <t xml:space="preserve">：任何一条失败即停线）</t>
    </r>
  </si>
  <si>
    <r>
      <rPr>
        <i val="true"/>
        <sz val="9"/>
        <color rgb="FF808080"/>
        <rFont val="Noto Sans CJK SC"/>
        <family val="2"/>
      </rPr>
      <t xml:space="preserve">启用阶段：切片</t>
    </r>
    <r>
      <rPr>
        <i val="true"/>
        <sz val="9"/>
        <color rgb="FF808080"/>
        <rFont val="Arial"/>
        <family val="0"/>
        <charset val="1"/>
      </rPr>
      <t xml:space="preserve">0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可执行实现：</t>
    </r>
    <r>
      <rPr>
        <i val="true"/>
        <sz val="9"/>
        <color rgb="FF808080"/>
        <rFont val="Arial"/>
        <family val="0"/>
        <charset val="1"/>
      </rPr>
      <t xml:space="preserve">tests/e2e/stages/s0-foundation.spec.ts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用例设计：</t>
    </r>
    <r>
      <rPr>
        <i val="true"/>
        <sz val="9"/>
        <color rgb="FF808080"/>
        <rFont val="Arial"/>
        <family val="0"/>
        <charset val="1"/>
      </rPr>
      <t xml:space="preserve">docs/test-cases/TC-S0 ISO</t>
    </r>
  </si>
  <si>
    <t xml:space="preserve">登录</t>
  </si>
  <si>
    <r>
      <rPr>
        <sz val="10"/>
        <rFont val="Noto Sans CJK SC"/>
        <family val="2"/>
      </rPr>
      <t xml:space="preserve">① 以租户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管理员登录</t>
    </r>
  </si>
  <si>
    <t xml:space="preserve">admin.b@aipaddle-test.local / E2e!AdminB_2026</t>
  </si>
  <si>
    <r>
      <rPr>
        <sz val="10"/>
        <rFont val="Arial"/>
        <family val="0"/>
        <charset val="1"/>
      </rPr>
      <t xml:space="preserve">Agent / </t>
    </r>
    <r>
      <rPr>
        <sz val="10"/>
        <rFont val="Noto Sans CJK SC"/>
        <family val="2"/>
      </rPr>
      <t xml:space="preserve">安全与管理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知识库</t>
    </r>
  </si>
  <si>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管理、成员管理、知识库管理</t>
    </r>
  </si>
  <si>
    <t xml:space="preserve">列表页</t>
  </si>
  <si>
    <r>
      <rPr>
        <sz val="10"/>
        <rFont val="Noto Sans CJK SC"/>
        <family val="2"/>
      </rPr>
      <t xml:space="preserve">② 逐页浏览，检查不出现租户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的任何数据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</si>
  <si>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租户标志物：示范科技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客服问答助手 </t>
    </r>
    <r>
      <rPr>
        <sz val="10"/>
        <rFont val="Arial"/>
        <family val="0"/>
        <charset val="1"/>
      </rPr>
      <t xml:space="preserve">/ admin.a@…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</si>
  <si>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层</t>
    </r>
  </si>
  <si>
    <t xml:space="preserve">越权读</t>
  </si>
  <si>
    <r>
      <rPr>
        <sz val="10"/>
        <rFont val="Noto Sans CJK SC"/>
        <family val="2"/>
      </rPr>
      <t xml:space="preserve">③ 携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会话直调 </t>
    </r>
    <r>
      <rPr>
        <sz val="10"/>
        <rFont val="Arial"/>
        <family val="0"/>
        <charset val="1"/>
      </rPr>
      <t xml:space="preserve">GET /api/agents/{A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AgentID}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</si>
  <si>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资源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/api/e2e/seed-info </t>
    </r>
    <r>
      <rPr>
        <sz val="10"/>
        <rFont val="Noto Sans CJK SC"/>
        <family val="2"/>
      </rPr>
      <t xml:space="preserve">提供</t>
    </r>
  </si>
  <si>
    <t xml:space="preserve">越权写</t>
  </si>
  <si>
    <r>
      <rPr>
        <sz val="10"/>
        <rFont val="Noto Sans CJK SC"/>
        <family val="2"/>
      </rPr>
      <t xml:space="preserve">④ 携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会话 </t>
    </r>
    <r>
      <rPr>
        <sz val="10"/>
        <rFont val="Arial"/>
        <family val="0"/>
        <charset val="1"/>
      </rPr>
      <t xml:space="preserve">PATCH </t>
    </r>
    <r>
      <rPr>
        <sz val="10"/>
        <rFont val="Noto Sans CJK SC"/>
        <family val="2"/>
      </rPr>
      <t xml:space="preserve">同一资源改 </t>
    </r>
    <r>
      <rPr>
        <sz val="10"/>
        <rFont val="Arial"/>
        <family val="0"/>
        <charset val="1"/>
      </rPr>
      <t xml:space="preserve">name</t>
    </r>
  </si>
  <si>
    <r>
      <rPr>
        <sz val="10"/>
        <rFont val="Arial"/>
        <family val="0"/>
        <charset val="1"/>
      </rPr>
      <t xml:space="preserve">payload: {name:'</t>
    </r>
    <r>
      <rPr>
        <sz val="10"/>
        <rFont val="Noto Sans CJK SC"/>
        <family val="2"/>
      </rPr>
      <t xml:space="preserve">越权修改</t>
    </r>
    <r>
      <rPr>
        <sz val="10"/>
        <rFont val="Arial"/>
        <family val="0"/>
        <charset val="1"/>
      </rPr>
      <t xml:space="preserve">'}</t>
    </r>
  </si>
  <si>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猜测</t>
    </r>
  </si>
  <si>
    <r>
      <rPr>
        <sz val="10"/>
        <rFont val="Noto Sans CJK SC"/>
        <family val="2"/>
      </rPr>
      <t xml:space="preserve">⑤ 猜测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00000000-…-0001 </t>
    </r>
    <r>
      <rPr>
        <sz val="10"/>
        <rFont val="Noto Sans CJK SC"/>
        <family val="2"/>
      </rPr>
      <t xml:space="preserve">逐个 </t>
    </r>
    <r>
      <rPr>
        <sz val="10"/>
        <rFont val="Arial"/>
        <family val="0"/>
        <charset val="1"/>
      </rPr>
      <t xml:space="preserve">GET</t>
    </r>
  </si>
  <si>
    <t xml:space="preserve">TC-C1</t>
  </si>
  <si>
    <r>
      <rPr>
        <sz val="10"/>
        <rFont val="Arial"/>
        <family val="0"/>
        <charset val="1"/>
      </rPr>
      <t xml:space="preserve">adminB </t>
    </r>
    <r>
      <rPr>
        <sz val="10"/>
        <rFont val="Noto Sans CJK SC"/>
        <family val="2"/>
      </rPr>
      <t xml:space="preserve">打开 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管理列表</t>
    </r>
  </si>
  <si>
    <r>
      <rPr>
        <sz val="10"/>
        <rFont val="Noto Sans CJK SC"/>
        <family val="2"/>
      </rPr>
      <t xml:space="preserve">页面正常但只显示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租户数据</t>
    </r>
  </si>
  <si>
    <r>
      <rPr>
        <sz val="10"/>
        <rFont val="Noto Sans CJK SC"/>
        <family val="2"/>
      </rPr>
      <t xml:space="preserve">「客服问答助手」出现次数：</t>
    </r>
    <r>
      <rPr>
        <sz val="10"/>
        <rFont val="Arial"/>
        <family val="0"/>
        <charset val="1"/>
      </rPr>
      <t xml:space="preserve">0</t>
    </r>
  </si>
  <si>
    <t xml:space="preserve">TC-C2</t>
  </si>
  <si>
    <r>
      <rPr>
        <sz val="10"/>
        <rFont val="Arial"/>
        <family val="0"/>
        <charset val="1"/>
      </rPr>
      <t xml:space="preserve">GET /api/agents/{orgA-agent-id}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会话）</t>
    </r>
  </si>
  <si>
    <r>
      <rPr>
        <sz val="10"/>
        <rFont val="Noto Sans CJK SC"/>
        <family val="2"/>
      </rPr>
      <t xml:space="preserve">拒绝访问，响应体不含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数据</t>
    </r>
  </si>
  <si>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状态码：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404</t>
    </r>
  </si>
  <si>
    <t xml:space="preserve">TC-C3</t>
  </si>
  <si>
    <r>
      <rPr>
        <sz val="10"/>
        <rFont val="Arial"/>
        <family val="0"/>
        <charset val="1"/>
      </rPr>
      <t xml:space="preserve">PATCH /api/agents/{orgA-agent-id} name=</t>
    </r>
    <r>
      <rPr>
        <sz val="10"/>
        <rFont val="Noto Sans CJK SC"/>
        <family val="2"/>
      </rPr>
      <t xml:space="preserve">越权修改</t>
    </r>
  </si>
  <si>
    <r>
      <rPr>
        <sz val="10"/>
        <rFont val="Noto Sans CJK SC"/>
        <family val="2"/>
      </rPr>
      <t xml:space="preserve">拒绝写入，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数据不变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</si>
  <si>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侧该 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名称：客服问答助手</t>
    </r>
  </si>
  <si>
    <t xml:space="preserve">TC-C4</t>
  </si>
  <si>
    <r>
      <rPr>
        <sz val="10"/>
        <rFont val="Arial"/>
        <family val="0"/>
        <charset val="1"/>
      </rPr>
      <t xml:space="preserve">GET /api/agents/1</t>
    </r>
    <r>
      <rPr>
        <sz val="10"/>
        <rFont val="Noto Sans CJK SC"/>
        <family val="2"/>
      </rPr>
      <t xml:space="preserve">（猜测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</si>
  <si>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统一 </t>
    </r>
    <r>
      <rPr>
        <sz val="10"/>
        <rFont val="Arial"/>
        <family val="0"/>
        <charset val="1"/>
      </rPr>
      <t xml:space="preserve">404</t>
    </r>
    <r>
      <rPr>
        <sz val="10"/>
        <rFont val="Noto Sans CJK SC"/>
        <family val="2"/>
      </rPr>
      <t xml:space="preserve">，不暴露存在性</t>
    </r>
  </si>
  <si>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状态码：</t>
    </r>
    <r>
      <rPr>
        <sz val="10"/>
        <rFont val="Arial"/>
        <family val="0"/>
        <charset val="1"/>
      </rPr>
      <t xml:space="preserve">404</t>
    </r>
  </si>
  <si>
    <r>
      <rPr>
        <b val="true"/>
        <sz val="14"/>
        <color rgb="FF1F3864"/>
        <rFont val="Noto Sans CJK SC"/>
        <family val="2"/>
      </rPr>
      <t xml:space="preserve">业务场景：</t>
    </r>
    <r>
      <rPr>
        <b val="true"/>
        <sz val="14"/>
        <color rgb="FF1F3864"/>
        <rFont val="Arial"/>
        <family val="0"/>
        <charset val="1"/>
      </rPr>
      <t xml:space="preserve">Agent </t>
    </r>
    <r>
      <rPr>
        <b val="true"/>
        <sz val="14"/>
        <color rgb="FF1F3864"/>
        <rFont val="Noto Sans CJK SC"/>
        <family val="2"/>
      </rPr>
      <t xml:space="preserve">全生命周期：创建→审核→发布→下线（</t>
    </r>
    <r>
      <rPr>
        <b val="true"/>
        <sz val="14"/>
        <color rgb="FF1F3864"/>
        <rFont val="Arial"/>
        <family val="0"/>
        <charset val="1"/>
      </rPr>
      <t xml:space="preserve">PRD 4.1 </t>
    </r>
    <r>
      <rPr>
        <b val="true"/>
        <sz val="14"/>
        <color rgb="FF1F3864"/>
        <rFont val="Noto Sans CJK SC"/>
        <family val="2"/>
      </rPr>
      <t xml:space="preserve">流程）</t>
    </r>
  </si>
  <si>
    <r>
      <rPr>
        <i val="true"/>
        <sz val="9"/>
        <color rgb="FF808080"/>
        <rFont val="Noto Sans CJK SC"/>
        <family val="2"/>
      </rPr>
      <t xml:space="preserve">启用阶段：切片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可执行实现：</t>
    </r>
    <r>
      <rPr>
        <i val="true"/>
        <sz val="9"/>
        <color rgb="FF808080"/>
        <rFont val="Arial"/>
        <family val="0"/>
        <charset val="1"/>
      </rPr>
      <t xml:space="preserve">tests/e2e/stages/s1-agent.spec.ts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用例设计：</t>
    </r>
    <r>
      <rPr>
        <i val="true"/>
        <sz val="9"/>
        <color rgb="FF808080"/>
        <rFont val="Arial"/>
        <family val="0"/>
        <charset val="1"/>
      </rPr>
      <t xml:space="preserve">docs/test-cases/TC-S1 CRUD/STM/REV</t>
    </r>
  </si>
  <si>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管理</t>
    </r>
  </si>
  <si>
    <r>
      <rPr>
        <sz val="10"/>
        <rFont val="Noto Sans CJK SC"/>
        <family val="2"/>
      </rPr>
      <t xml:space="preserve">「创建 </t>
    </r>
    <r>
      <rPr>
        <sz val="10"/>
        <rFont val="Arial"/>
        <family val="0"/>
        <charset val="1"/>
      </rPr>
      <t xml:space="preserve">Agent</t>
    </r>
    <r>
      <rPr>
        <sz val="10"/>
        <rFont val="Noto Sans CJK SC"/>
        <family val="2"/>
      </rPr>
      <t xml:space="preserve">」按钮</t>
    </r>
  </si>
  <si>
    <r>
      <rPr>
        <sz val="10"/>
        <rFont val="Noto Sans CJK SC"/>
        <family val="2"/>
      </rPr>
      <t xml:space="preserve">① 开发者李工登录 ② 点创建 ③ 填名称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描述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部门 ④ 勾选使用场景 ⑤ 保存</t>
    </r>
  </si>
  <si>
    <r>
      <rPr>
        <sz val="10"/>
        <rFont val="Noto Sans CJK SC"/>
        <family val="2"/>
      </rPr>
      <t xml:space="preserve">客服问答助手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市场部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场景：</t>
    </r>
    <r>
      <rPr>
        <sz val="10"/>
        <rFont val="Arial"/>
        <family val="0"/>
        <charset val="1"/>
      </rPr>
      <t xml:space="preserve">web+wecom</t>
    </r>
  </si>
  <si>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管理列表</t>
    </r>
  </si>
  <si>
    <t xml:space="preserve">状态标签</t>
  </si>
  <si>
    <r>
      <rPr>
        <sz val="10"/>
        <rFont val="Noto Sans CJK SC"/>
        <family val="2"/>
      </rPr>
      <t xml:space="preserve">⑥ 确认新行状态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草稿，草稿统计卡 </t>
    </r>
    <r>
      <rPr>
        <sz val="10"/>
        <rFont val="Arial"/>
        <family val="0"/>
        <charset val="1"/>
      </rPr>
      <t xml:space="preserve">+1</t>
    </r>
  </si>
  <si>
    <t xml:space="preserve">「提交审核」</t>
  </si>
  <si>
    <t xml:space="preserve">⑦ 提交，状态变待审核</t>
  </si>
  <si>
    <t xml:space="preserve">安全与管理</t>
  </si>
  <si>
    <t xml:space="preserve">安全管理</t>
  </si>
  <si>
    <t xml:space="preserve">审核队列「批准」</t>
  </si>
  <si>
    <t xml:space="preserve">⑧ 切管理员陈雪 ⑨ 找到审核单 ⑩ 批准</t>
  </si>
  <si>
    <r>
      <rPr>
        <sz val="10"/>
        <rFont val="Noto Sans CJK SC"/>
        <family val="2"/>
      </rPr>
      <t xml:space="preserve">审核单 </t>
    </r>
    <r>
      <rPr>
        <sz val="10"/>
        <rFont val="Arial"/>
        <family val="0"/>
        <charset val="1"/>
      </rPr>
      <t xml:space="preserve">type=agent</t>
    </r>
  </si>
  <si>
    <r>
      <rPr>
        <sz val="10"/>
        <rFont val="Noto Sans CJK SC"/>
        <family val="2"/>
      </rPr>
      <t xml:space="preserve">⑪ 回列表确认状态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已发布</t>
    </r>
  </si>
  <si>
    <t xml:space="preserve">「下线」</t>
  </si>
  <si>
    <r>
      <rPr>
        <sz val="10"/>
        <rFont val="Noto Sans CJK SC"/>
        <family val="2"/>
      </rPr>
      <t xml:space="preserve">⑫ 下线，状态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已下线</t>
    </r>
  </si>
  <si>
    <t xml:space="preserve">TC-D1</t>
  </si>
  <si>
    <r>
      <rPr>
        <sz val="10"/>
        <rFont val="Noto Sans CJK SC"/>
        <family val="2"/>
      </rPr>
      <t xml:space="preserve">创建：名称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客服问答助手，部门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市场部，场景</t>
    </r>
    <r>
      <rPr>
        <sz val="10"/>
        <rFont val="Arial"/>
        <family val="0"/>
        <charset val="1"/>
      </rPr>
      <t xml:space="preserve">=web+wecom</t>
    </r>
  </si>
  <si>
    <t xml:space="preserve">列表新增一行，初始状态为草稿</t>
  </si>
  <si>
    <t xml:space="preserve">新行状态标签：草稿</t>
  </si>
  <si>
    <t xml:space="preserve">TC-D2</t>
  </si>
  <si>
    <r>
      <rPr>
        <sz val="10"/>
        <rFont val="Noto Sans CJK SC"/>
        <family val="2"/>
      </rPr>
      <t xml:space="preserve">创建：名称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空</t>
    </r>
  </si>
  <si>
    <t xml:space="preserve">表单校验拦截，逐字段报错</t>
  </si>
  <si>
    <t xml:space="preserve">错误提示关键词：名称不能为空</t>
  </si>
  <si>
    <t xml:space="preserve">TC-D3</t>
  </si>
  <si>
    <r>
      <rPr>
        <sz val="10"/>
        <rFont val="Noto Sans CJK SC"/>
        <family val="2"/>
      </rPr>
      <t xml:space="preserve">创建：名称</t>
    </r>
    <r>
      <rPr>
        <sz val="10"/>
        <rFont val="Arial"/>
        <family val="0"/>
        <charset val="1"/>
      </rPr>
      <t xml:space="preserve">=101 </t>
    </r>
    <r>
      <rPr>
        <sz val="10"/>
        <rFont val="Noto Sans CJK SC"/>
        <family val="2"/>
      </rPr>
      <t xml:space="preserve">个字符</t>
    </r>
  </si>
  <si>
    <t xml:space="preserve">校验拦截</t>
  </si>
  <si>
    <t xml:space="preserve">错误提示关键词：名称过长</t>
  </si>
  <si>
    <t xml:space="preserve">TC-D4</t>
  </si>
  <si>
    <t xml:space="preserve">完整链路：提交审核→管理员批准</t>
  </si>
  <si>
    <t xml:space="preserve">状态流转 草稿→待审核→已发布，全程留审计</t>
  </si>
  <si>
    <r>
      <rPr>
        <sz val="10"/>
        <rFont val="Noto Sans CJK SC"/>
        <family val="2"/>
      </rPr>
      <t xml:space="preserve">最终状态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新增审计条数：已发布 </t>
    </r>
    <r>
      <rPr>
        <sz val="10"/>
        <rFont val="Arial"/>
        <family val="0"/>
        <charset val="1"/>
      </rPr>
      <t xml:space="preserve">/ 2</t>
    </r>
  </si>
  <si>
    <t xml:space="preserve">TC-D5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</si>
  <si>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直调非法流转：</t>
    </r>
    <r>
      <rPr>
        <sz val="10"/>
        <rFont val="Arial"/>
        <family val="0"/>
        <charset val="1"/>
      </rPr>
      <t xml:space="preserve">draft→published</t>
    </r>
    <r>
      <rPr>
        <sz val="10"/>
        <rFont val="Noto Sans CJK SC"/>
        <family val="2"/>
      </rPr>
      <t xml:space="preserve">（跳过审核）</t>
    </r>
  </si>
  <si>
    <t xml:space="preserve">服务端拒绝，状态不变</t>
  </si>
  <si>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状态码：</t>
    </r>
    <r>
      <rPr>
        <sz val="10"/>
        <rFont val="Arial"/>
        <family val="0"/>
        <charset val="1"/>
      </rPr>
      <t xml:space="preserve">409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422</t>
    </r>
  </si>
  <si>
    <t xml:space="preserve">TC-D6</t>
  </si>
  <si>
    <t xml:space="preserve">开发者李工打开安全管理页</t>
  </si>
  <si>
    <t xml:space="preserve">无审核权限：看不到批准按钮</t>
  </si>
  <si>
    <r>
      <rPr>
        <sz val="10"/>
        <rFont val="Noto Sans CJK SC"/>
        <family val="2"/>
      </rPr>
      <t xml:space="preserve">「批准」按钮数量：</t>
    </r>
    <r>
      <rPr>
        <sz val="10"/>
        <rFont val="Arial"/>
        <family val="0"/>
        <charset val="1"/>
      </rPr>
      <t xml:space="preserve">0</t>
    </r>
  </si>
  <si>
    <t xml:space="preserve">业务场景：数字员工对话与调用日志（真实大模型）</t>
  </si>
  <si>
    <r>
      <rPr>
        <i val="true"/>
        <sz val="9"/>
        <color rgb="FF808080"/>
        <rFont val="Noto Sans CJK SC"/>
        <family val="2"/>
      </rPr>
      <t xml:space="preserve">启用阶段：切片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可执行实现：</t>
    </r>
    <r>
      <rPr>
        <i val="true"/>
        <sz val="9"/>
        <color rgb="FF808080"/>
        <rFont val="Arial"/>
        <family val="0"/>
        <charset val="1"/>
      </rPr>
      <t xml:space="preserve">tests/e2e/stages/s1-agent.spec.ts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用例设计：</t>
    </r>
    <r>
      <rPr>
        <i val="true"/>
        <sz val="9"/>
        <color rgb="FF808080"/>
        <rFont val="Arial"/>
        <family val="0"/>
        <charset val="1"/>
      </rPr>
      <t xml:space="preserve">docs/test-cases/TC-S1 CHAT/LOG</t>
    </r>
  </si>
  <si>
    <t xml:space="preserve">数字员工</t>
  </si>
  <si>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卡片</t>
    </r>
  </si>
  <si>
    <t xml:space="preserve">① 普通用户王芳登录 ② 选择已发布的「客服问答助手」</t>
  </si>
  <si>
    <t xml:space="preserve">user.a@aipaddle-test.local</t>
  </si>
  <si>
    <r>
      <rPr>
        <sz val="10"/>
        <rFont val="Noto Sans CJK SC"/>
        <family val="2"/>
      </rPr>
      <t xml:space="preserve">数字员工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对话</t>
    </r>
  </si>
  <si>
    <r>
      <rPr>
        <sz val="10"/>
        <rFont val="Noto Sans CJK SC"/>
        <family val="2"/>
      </rPr>
      <t xml:space="preserve">输入框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发送</t>
    </r>
  </si>
  <si>
    <t xml:space="preserve">③ 输入问题 ④ 点发送 ⑤ 等待回复</t>
  </si>
  <si>
    <t xml:space="preserve">问题：你好，请介绍一下你能做什么</t>
  </si>
  <si>
    <t xml:space="preserve">历史记录</t>
  </si>
  <si>
    <t xml:space="preserve">⑥ 刷新页面确认历史仍在</t>
  </si>
  <si>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管理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详情</t>
    </r>
  </si>
  <si>
    <t xml:space="preserve">性能指标</t>
  </si>
  <si>
    <r>
      <rPr>
        <sz val="10"/>
        <rFont val="Noto Sans CJK SC"/>
        <family val="2"/>
      </rPr>
      <t xml:space="preserve">⑦ 切管理员查看该 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调用次数变化</t>
    </r>
  </si>
  <si>
    <r>
      <rPr>
        <sz val="10"/>
        <rFont val="Noto Sans CJK SC"/>
        <family val="2"/>
      </rPr>
      <t xml:space="preserve">指标元素 </t>
    </r>
    <r>
      <rPr>
        <sz val="10"/>
        <rFont val="Arial"/>
        <family val="0"/>
        <charset val="1"/>
      </rPr>
      <t xml:space="preserve">metric-calls</t>
    </r>
  </si>
  <si>
    <t xml:space="preserve">故障降级</t>
  </si>
  <si>
    <r>
      <rPr>
        <sz val="10"/>
        <rFont val="Noto Sans CJK SC"/>
        <family val="2"/>
      </rPr>
      <t xml:space="preserve">⑧ 带 </t>
    </r>
    <r>
      <rPr>
        <sz val="10"/>
        <rFont val="Arial"/>
        <family val="0"/>
        <charset val="1"/>
      </rPr>
      <t xml:space="preserve">?e2e-fault=llm </t>
    </r>
    <r>
      <rPr>
        <sz val="10"/>
        <rFont val="Noto Sans CJK SC"/>
        <family val="2"/>
      </rPr>
      <t xml:space="preserve">重试发送</t>
    </r>
  </si>
  <si>
    <t xml:space="preserve">故障注入参数（仅测试环境）</t>
  </si>
  <si>
    <t xml:space="preserve">TC-E1</t>
  </si>
  <si>
    <t xml:space="preserve">发送：你好，请介绍一下你能做什么</t>
  </si>
  <si>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秒内收到相关回复，无报错</t>
    </r>
  </si>
  <si>
    <r>
      <rPr>
        <sz val="10"/>
        <rFont val="Noto Sans CJK SC"/>
        <family val="2"/>
      </rPr>
      <t xml:space="preserve">回复文本长度：</t>
    </r>
    <r>
      <rPr>
        <sz val="10"/>
        <rFont val="Arial"/>
        <family val="0"/>
        <charset val="1"/>
      </rPr>
      <t xml:space="preserve">&gt;10</t>
    </r>
  </si>
  <si>
    <t xml:space="preserve">TC-E2</t>
  </si>
  <si>
    <r>
      <rPr>
        <sz val="10"/>
        <rFont val="Noto Sans CJK SC"/>
        <family val="2"/>
      </rPr>
      <t xml:space="preserve">记录发送前调用次数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，再发送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条</t>
    </r>
  </si>
  <si>
    <t xml:space="preserve">管理端指标同步刷新</t>
  </si>
  <si>
    <r>
      <rPr>
        <sz val="10"/>
        <rFont val="Noto Sans CJK SC"/>
        <family val="2"/>
      </rPr>
      <t xml:space="preserve">发送后调用次数：</t>
    </r>
    <r>
      <rPr>
        <sz val="10"/>
        <rFont val="Arial"/>
        <family val="0"/>
        <charset val="1"/>
      </rPr>
      <t xml:space="preserve">N+1</t>
    </r>
  </si>
  <si>
    <t xml:space="preserve">TC-E3</t>
  </si>
  <si>
    <r>
      <rPr>
        <sz val="10"/>
        <rFont val="Arial"/>
        <family val="0"/>
        <charset val="1"/>
      </rPr>
      <t xml:space="preserve">?e2e-fault=llm </t>
    </r>
    <r>
      <rPr>
        <sz val="10"/>
        <rFont val="Noto Sans CJK SC"/>
        <family val="2"/>
      </rPr>
      <t xml:space="preserve">下发送任意消息</t>
    </r>
  </si>
  <si>
    <t xml:space="preserve">友好错误提示，可重试，不白屏</t>
  </si>
  <si>
    <t xml:space="preserve">提示关键词：暂时无法回复</t>
  </si>
  <si>
    <t xml:space="preserve">TC-E4</t>
  </si>
  <si>
    <r>
      <rPr>
        <sz val="10"/>
        <rFont val="Noto Sans CJK SC"/>
        <family val="2"/>
      </rPr>
      <t xml:space="preserve">王芳发送带唯一标记的消息后刷新；再用李工账号查看同一 </t>
    </r>
    <r>
      <rPr>
        <sz val="10"/>
        <rFont val="Arial"/>
        <family val="0"/>
        <charset val="1"/>
      </rPr>
      <t xml:space="preserve">Agent</t>
    </r>
  </si>
  <si>
    <t xml:space="preserve">本人刷新后历史仍在；他人不可见</t>
  </si>
  <si>
    <r>
      <rPr>
        <sz val="10"/>
        <rFont val="Noto Sans CJK SC"/>
        <family val="2"/>
      </rPr>
      <t xml:space="preserve">他人页面该标记出现次数：</t>
    </r>
    <r>
      <rPr>
        <sz val="10"/>
        <rFont val="Arial"/>
        <family val="0"/>
        <charset val="1"/>
      </rPr>
      <t xml:space="preserve">0</t>
    </r>
  </si>
  <si>
    <r>
      <rPr>
        <b val="true"/>
        <sz val="14"/>
        <color rgb="FF1F3864"/>
        <rFont val="Noto Sans CJK SC"/>
        <family val="2"/>
      </rPr>
      <t xml:space="preserve">业务场景：知识库上传→检索→</t>
    </r>
    <r>
      <rPr>
        <b val="true"/>
        <sz val="14"/>
        <color rgb="FF1F3864"/>
        <rFont val="Arial"/>
        <family val="0"/>
        <charset val="1"/>
      </rPr>
      <t xml:space="preserve">RAG </t>
    </r>
    <r>
      <rPr>
        <b val="true"/>
        <sz val="14"/>
        <color rgb="FF1F3864"/>
        <rFont val="Noto Sans CJK SC"/>
        <family val="2"/>
      </rPr>
      <t xml:space="preserve">问答（含计算结果比对）</t>
    </r>
  </si>
  <si>
    <r>
      <rPr>
        <i val="true"/>
        <sz val="9"/>
        <color rgb="FF808080"/>
        <rFont val="Noto Sans CJK SC"/>
        <family val="2"/>
      </rPr>
      <t xml:space="preserve">启用阶段：切片</t>
    </r>
    <r>
      <rPr>
        <i val="true"/>
        <sz val="9"/>
        <color rgb="FF808080"/>
        <rFont val="Arial"/>
        <family val="0"/>
        <charset val="1"/>
      </rPr>
      <t xml:space="preserve">2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可执行实现：</t>
    </r>
    <r>
      <rPr>
        <i val="true"/>
        <sz val="9"/>
        <color rgb="FF808080"/>
        <rFont val="Arial"/>
        <family val="0"/>
        <charset val="1"/>
      </rPr>
      <t xml:space="preserve">tests/e2e/stages/s2-knowledge.spec.ts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用例设计：</t>
    </r>
    <r>
      <rPr>
        <i val="true"/>
        <sz val="9"/>
        <color rgb="FF808080"/>
        <rFont val="Arial"/>
        <family val="0"/>
        <charset val="1"/>
      </rPr>
      <t xml:space="preserve">docs/test-cases/TC-S2</t>
    </r>
  </si>
  <si>
    <t xml:space="preserve">知识库</t>
  </si>
  <si>
    <t xml:space="preserve">知识库管理</t>
  </si>
  <si>
    <t xml:space="preserve">「上传文档」</t>
  </si>
  <si>
    <r>
      <rPr>
        <sz val="10"/>
        <rFont val="Noto Sans CJK SC"/>
        <family val="2"/>
      </rPr>
      <t xml:space="preserve">① 李工登录 ② 进入产品知识库 ③ 上传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份固定 </t>
    </r>
    <r>
      <rPr>
        <sz val="10"/>
        <rFont val="Arial"/>
        <family val="0"/>
        <charset val="1"/>
      </rPr>
      <t xml:space="preserve">PDF ④ </t>
    </r>
    <r>
      <rPr>
        <sz val="10"/>
        <rFont val="Noto Sans CJK SC"/>
        <family val="2"/>
      </rPr>
      <t xml:space="preserve">等状态变 </t>
    </r>
    <r>
      <rPr>
        <sz val="10"/>
        <rFont val="Arial"/>
        <family val="0"/>
        <charset val="1"/>
      </rPr>
      <t xml:space="preserve">active</t>
    </r>
  </si>
  <si>
    <t xml:space="preserve">product-manual.pdf / price-table.pdf / hr-policy.pdf</t>
  </si>
  <si>
    <r>
      <rPr>
        <sz val="10"/>
        <rFont val="Noto Sans CJK SC"/>
        <family val="2"/>
      </rPr>
      <t xml:space="preserve">知识库管理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详情</t>
    </r>
  </si>
  <si>
    <t xml:space="preserve">「测试检索」</t>
  </si>
  <si>
    <t xml:space="preserve">⑤ 输入问题检索 ⑥ 检查相关块与评分降序</t>
  </si>
  <si>
    <r>
      <rPr>
        <sz val="10"/>
        <rFont val="Noto Sans CJK SC"/>
        <family val="2"/>
      </rPr>
      <t xml:space="preserve">问题：</t>
    </r>
    <r>
      <rPr>
        <sz val="10"/>
        <rFont val="Arial"/>
        <family val="0"/>
        <charset val="1"/>
      </rPr>
      <t xml:space="preserve">X1 </t>
    </r>
    <r>
      <rPr>
        <sz val="10"/>
        <rFont val="Noto Sans CJK SC"/>
        <family val="2"/>
      </rPr>
      <t xml:space="preserve">保修多久</t>
    </r>
  </si>
  <si>
    <t xml:space="preserve">关联知识库</t>
  </si>
  <si>
    <t xml:space="preserve">⑦ 给「客服问答助手」关联产品知识库</t>
  </si>
  <si>
    <r>
      <rPr>
        <sz val="10"/>
        <rFont val="Arial"/>
        <family val="0"/>
        <charset val="1"/>
      </rPr>
      <t xml:space="preserve">RAG </t>
    </r>
    <r>
      <rPr>
        <sz val="10"/>
        <rFont val="Noto Sans CJK SC"/>
        <family val="2"/>
      </rPr>
      <t xml:space="preserve">问答</t>
    </r>
  </si>
  <si>
    <t xml:space="preserve">⑧ 王芳按金标准问答集逐题提问 ⑨ 核对答案要点与引用</t>
  </si>
  <si>
    <r>
      <rPr>
        <sz val="10"/>
        <rFont val="Noto Sans CJK SC"/>
        <family val="2"/>
      </rPr>
      <t xml:space="preserve">金标准样例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题（</t>
    </r>
    <r>
      <rPr>
        <sz val="10"/>
        <rFont val="Arial"/>
        <family val="0"/>
        <charset val="1"/>
      </rPr>
      <t xml:space="preserve">golden-set</t>
    </r>
    <r>
      <rPr>
        <sz val="10"/>
        <rFont val="Noto Sans CJK SC"/>
        <family val="2"/>
      </rPr>
      <t xml:space="preserve">）</t>
    </r>
  </si>
  <si>
    <t xml:space="preserve">删除文档</t>
  </si>
  <si>
    <r>
      <rPr>
        <sz val="10"/>
        <rFont val="Noto Sans CJK SC"/>
        <family val="2"/>
      </rPr>
      <t xml:space="preserve">⑩ 删除 </t>
    </r>
    <r>
      <rPr>
        <sz val="10"/>
        <rFont val="Arial"/>
        <family val="0"/>
        <charset val="1"/>
      </rPr>
      <t xml:space="preserve">hr-policy.pdf ⑪ </t>
    </r>
    <r>
      <rPr>
        <sz val="10"/>
        <rFont val="Noto Sans CJK SC"/>
        <family val="2"/>
      </rPr>
      <t xml:space="preserve">复问其独有问题，确认不再引用</t>
    </r>
  </si>
  <si>
    <t xml:space="preserve">问题：新员工年假有几天？</t>
  </si>
  <si>
    <t xml:space="preserve">TC-F1</t>
  </si>
  <si>
    <r>
      <rPr>
        <sz val="10"/>
        <rFont val="Noto Sans CJK SC"/>
        <family val="2"/>
      </rPr>
      <t xml:space="preserve">问：</t>
    </r>
    <r>
      <rPr>
        <sz val="10"/>
        <rFont val="Arial"/>
        <family val="0"/>
        <charset val="1"/>
      </rPr>
      <t xml:space="preserve">X1 </t>
    </r>
    <r>
      <rPr>
        <sz val="10"/>
        <rFont val="Noto Sans CJK SC"/>
        <family val="2"/>
      </rPr>
      <t xml:space="preserve">标准版和 </t>
    </r>
    <r>
      <rPr>
        <sz val="10"/>
        <rFont val="Arial"/>
        <family val="0"/>
        <charset val="1"/>
      </rPr>
      <t xml:space="preserve">Pro </t>
    </r>
    <r>
      <rPr>
        <sz val="10"/>
        <rFont val="Noto Sans CJK SC"/>
        <family val="2"/>
      </rPr>
      <t xml:space="preserve">版分别多少钱？</t>
    </r>
  </si>
  <si>
    <t xml:space="preserve">回答给出两档价格并附引用标注</t>
  </si>
  <si>
    <r>
      <rPr>
        <sz val="10"/>
        <rFont val="Noto Sans CJK SC"/>
        <family val="2"/>
      </rPr>
      <t xml:space="preserve">回答须包含的数值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引用文档：</t>
    </r>
    <r>
      <rPr>
        <sz val="10"/>
        <rFont val="Arial"/>
        <family val="0"/>
        <charset val="1"/>
      </rPr>
      <t xml:space="preserve">599;899 / price-table.pdf</t>
    </r>
  </si>
  <si>
    <t xml:space="preserve">TC-F2</t>
  </si>
  <si>
    <r>
      <rPr>
        <sz val="10"/>
        <rFont val="Noto Sans CJK SC"/>
        <family val="2"/>
      </rPr>
      <t xml:space="preserve">问：</t>
    </r>
    <r>
      <rPr>
        <sz val="10"/>
        <rFont val="Arial"/>
        <family val="0"/>
        <charset val="1"/>
      </rPr>
      <t xml:space="preserve">X1 </t>
    </r>
    <r>
      <rPr>
        <sz val="10"/>
        <rFont val="Noto Sans CJK SC"/>
        <family val="2"/>
      </rPr>
      <t xml:space="preserve">的保修期多久？</t>
    </r>
  </si>
  <si>
    <t xml:space="preserve">回答明确保修期并附引用</t>
  </si>
  <si>
    <r>
      <rPr>
        <sz val="10"/>
        <rFont val="Noto Sans CJK SC"/>
        <family val="2"/>
      </rPr>
      <t xml:space="preserve">答案要点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引用文档：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/ product-manual.pdf</t>
    </r>
  </si>
  <si>
    <t xml:space="preserve">TC-F3</t>
  </si>
  <si>
    <r>
      <rPr>
        <sz val="10"/>
        <rFont val="Noto Sans CJK SC"/>
        <family val="2"/>
      </rPr>
      <t xml:space="preserve">问：公司买 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</rPr>
      <t xml:space="preserve">台 </t>
    </r>
    <r>
      <rPr>
        <sz val="10"/>
        <rFont val="Arial"/>
        <family val="0"/>
        <charset val="1"/>
      </rPr>
      <t xml:space="preserve">X1 </t>
    </r>
    <r>
      <rPr>
        <sz val="10"/>
        <rFont val="Noto Sans CJK SC"/>
        <family val="2"/>
      </rPr>
      <t xml:space="preserve">能打折吗？（跨段推理）</t>
    </r>
  </si>
  <si>
    <r>
      <rPr>
        <sz val="10"/>
        <rFont val="Noto Sans CJK SC"/>
        <family val="2"/>
      </rPr>
      <t xml:space="preserve">回答结合「</t>
    </r>
    <r>
      <rPr>
        <sz val="10"/>
        <rFont val="Arial"/>
        <family val="0"/>
        <charset val="1"/>
      </rPr>
      <t xml:space="preserve">50 </t>
    </r>
    <r>
      <rPr>
        <sz val="10"/>
        <rFont val="Noto Sans CJK SC"/>
        <family val="2"/>
      </rPr>
      <t xml:space="preserve">台起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折」推理出可打折</t>
    </r>
  </si>
  <si>
    <r>
      <rPr>
        <sz val="10"/>
        <rFont val="Noto Sans CJK SC"/>
        <family val="2"/>
      </rPr>
      <t xml:space="preserve">答案要点：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折</t>
    </r>
  </si>
  <si>
    <t xml:space="preserve">TC-F4</t>
  </si>
  <si>
    <t xml:space="preserve">问：竞品华硕路由器怎么样？（语料外）</t>
  </si>
  <si>
    <t xml:space="preserve">如实拒答，不编造</t>
  </si>
  <si>
    <r>
      <rPr>
        <sz val="10"/>
        <rFont val="Noto Sans CJK SC"/>
        <family val="2"/>
      </rPr>
      <t xml:space="preserve">回答关键词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引用数量：未找到 </t>
    </r>
    <r>
      <rPr>
        <sz val="10"/>
        <rFont val="Arial"/>
        <family val="0"/>
        <charset val="1"/>
      </rPr>
      <t xml:space="preserve">/ 0</t>
    </r>
  </si>
  <si>
    <t xml:space="preserve">TC-F5</t>
  </si>
  <si>
    <r>
      <rPr>
        <sz val="10"/>
        <rFont val="Noto Sans CJK SC"/>
        <family val="2"/>
      </rPr>
      <t xml:space="preserve">上传 </t>
    </r>
    <r>
      <rPr>
        <sz val="10"/>
        <rFont val="Arial"/>
        <family val="0"/>
        <charset val="1"/>
      </rPr>
      <t xml:space="preserve">malware.exe</t>
    </r>
  </si>
  <si>
    <t xml:space="preserve">前后端双重拒绝</t>
  </si>
  <si>
    <t xml:space="preserve">错误提示关键词：不支持的格式</t>
  </si>
  <si>
    <t xml:space="preserve">TC-F6</t>
  </si>
  <si>
    <r>
      <rPr>
        <sz val="10"/>
        <rFont val="Noto Sans CJK SC"/>
        <family val="2"/>
      </rPr>
      <t xml:space="preserve">脚本跑金标准全集（≥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题）</t>
    </r>
    <r>
      <rPr>
        <sz val="10"/>
        <rFont val="Arial"/>
        <family val="0"/>
        <charset val="1"/>
      </rPr>
      <t xml:space="preserve">pnpm test:rag-eval</t>
    </r>
  </si>
  <si>
    <t xml:space="preserve">输出通过率报告</t>
  </si>
  <si>
    <r>
      <rPr>
        <sz val="10"/>
        <rFont val="Noto Sans CJK SC"/>
        <family val="2"/>
      </rPr>
      <t xml:space="preserve">要点命中率：≥</t>
    </r>
    <r>
      <rPr>
        <sz val="10"/>
        <rFont val="Arial"/>
        <family val="0"/>
        <charset val="1"/>
      </rPr>
      <t xml:space="preserve">80%</t>
    </r>
  </si>
  <si>
    <r>
      <rPr>
        <b val="true"/>
        <sz val="14"/>
        <color rgb="FF1F3864"/>
        <rFont val="Noto Sans CJK SC"/>
        <family val="2"/>
      </rPr>
      <t xml:space="preserve">业务场景：</t>
    </r>
    <r>
      <rPr>
        <b val="true"/>
        <sz val="14"/>
        <color rgb="FF1F3864"/>
        <rFont val="Arial"/>
        <family val="0"/>
        <charset val="1"/>
      </rPr>
      <t xml:space="preserve">Skill </t>
    </r>
    <r>
      <rPr>
        <b val="true"/>
        <sz val="14"/>
        <color rgb="FF1F3864"/>
        <rFont val="Noto Sans CJK SC"/>
        <family val="2"/>
      </rPr>
      <t xml:space="preserve">市场：创建→审核→安装（五类型）</t>
    </r>
  </si>
  <si>
    <r>
      <rPr>
        <i val="true"/>
        <sz val="9"/>
        <color rgb="FF808080"/>
        <rFont val="Noto Sans CJK SC"/>
        <family val="2"/>
      </rPr>
      <t xml:space="preserve">启用阶段：切片</t>
    </r>
    <r>
      <rPr>
        <i val="true"/>
        <sz val="9"/>
        <color rgb="FF808080"/>
        <rFont val="Arial"/>
        <family val="0"/>
        <charset val="1"/>
      </rPr>
      <t xml:space="preserve">3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可执行实现：</t>
    </r>
    <r>
      <rPr>
        <i val="true"/>
        <sz val="9"/>
        <color rgb="FF808080"/>
        <rFont val="Arial"/>
        <family val="0"/>
        <charset val="1"/>
      </rPr>
      <t xml:space="preserve">tests/e2e/stages/s3-s5-later.spec.ts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用例设计：</t>
    </r>
    <r>
      <rPr>
        <i val="true"/>
        <sz val="9"/>
        <color rgb="FF808080"/>
        <rFont val="Arial"/>
        <family val="0"/>
        <charset val="1"/>
      </rPr>
      <t xml:space="preserve">docs/test-cases/TC-S3</t>
    </r>
  </si>
  <si>
    <t xml:space="preserve">Skill</t>
  </si>
  <si>
    <t xml:space="preserve">Skill Hub</t>
  </si>
  <si>
    <r>
      <rPr>
        <sz val="10"/>
        <rFont val="Noto Sans CJK SC"/>
        <family val="2"/>
      </rPr>
      <t xml:space="preserve">「创建 </t>
    </r>
    <r>
      <rPr>
        <sz val="10"/>
        <rFont val="Arial"/>
        <family val="0"/>
        <charset val="1"/>
      </rPr>
      <t xml:space="preserve">Skill</t>
    </r>
    <r>
      <rPr>
        <sz val="10"/>
        <rFont val="Noto Sans CJK SC"/>
        <family val="2"/>
      </rPr>
      <t xml:space="preserve">」</t>
    </r>
  </si>
  <si>
    <r>
      <rPr>
        <sz val="10"/>
        <rFont val="Noto Sans CJK SC"/>
        <family val="2"/>
      </rPr>
      <t xml:space="preserve">① 李工登录 ② 依次创建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种类型 </t>
    </r>
    <r>
      <rPr>
        <sz val="10"/>
        <rFont val="Arial"/>
        <family val="0"/>
        <charset val="1"/>
      </rPr>
      <t xml:space="preserve">Skill ③ </t>
    </r>
    <r>
      <rPr>
        <sz val="10"/>
        <rFont val="Noto Sans CJK SC"/>
        <family val="2"/>
      </rPr>
      <t xml:space="preserve">设风险等级</t>
    </r>
  </si>
  <si>
    <r>
      <rPr>
        <sz val="10"/>
        <rFont val="Arial"/>
        <family val="0"/>
        <charset val="1"/>
      </rPr>
      <t xml:space="preserve">MCP/API/DB/Workflow/Prompt </t>
    </r>
    <r>
      <rPr>
        <sz val="10"/>
        <rFont val="Noto Sans CJK SC"/>
        <family val="2"/>
      </rPr>
      <t xml:space="preserve">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（见 </t>
    </r>
    <r>
      <rPr>
        <sz val="10"/>
        <rFont val="Arial"/>
        <family val="0"/>
        <charset val="1"/>
      </rPr>
      <t xml:space="preserve">SKILLS </t>
    </r>
    <r>
      <rPr>
        <sz val="10"/>
        <rFont val="Noto Sans CJK SC"/>
        <family val="2"/>
      </rPr>
      <t xml:space="preserve">数据）</t>
    </r>
  </si>
  <si>
    <r>
      <rPr>
        <sz val="10"/>
        <rFont val="Arial"/>
        <family val="0"/>
        <charset val="1"/>
      </rPr>
      <t xml:space="preserve">Skill Hub-</t>
    </r>
    <r>
      <rPr>
        <sz val="10"/>
        <rFont val="Noto Sans CJK SC"/>
        <family val="2"/>
      </rPr>
      <t xml:space="preserve">详情</t>
    </r>
  </si>
  <si>
    <t xml:space="preserve">「发布」</t>
  </si>
  <si>
    <r>
      <rPr>
        <sz val="10"/>
        <rFont val="Noto Sans CJK SC"/>
        <family val="2"/>
      </rPr>
      <t xml:space="preserve">④ 发布高风险 </t>
    </r>
    <r>
      <rPr>
        <sz val="10"/>
        <rFont val="Arial"/>
        <family val="0"/>
        <charset val="1"/>
      </rPr>
      <t xml:space="preserve">Skill</t>
    </r>
    <r>
      <rPr>
        <sz val="10"/>
        <rFont val="Noto Sans CJK SC"/>
        <family val="2"/>
      </rPr>
      <t xml:space="preserve">（销售数据查询</t>
    </r>
    <r>
      <rPr>
        <sz val="10"/>
        <rFont val="Arial"/>
        <family val="0"/>
        <charset val="1"/>
      </rPr>
      <t xml:space="preserve">/DB/</t>
    </r>
    <r>
      <rPr>
        <sz val="10"/>
        <rFont val="Noto Sans CJK SC"/>
        <family val="2"/>
      </rPr>
      <t xml:space="preserve">高）</t>
    </r>
  </si>
  <si>
    <t xml:space="preserve">riskLevel=high</t>
  </si>
  <si>
    <t xml:space="preserve">审核队列</t>
  </si>
  <si>
    <t xml:space="preserve">⑤ 确认进入待审核而非直接发布</t>
  </si>
  <si>
    <r>
      <rPr>
        <sz val="10"/>
        <rFont val="Noto Sans CJK SC"/>
        <family val="2"/>
      </rPr>
      <t xml:space="preserve">「安装」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「卸载」</t>
    </r>
  </si>
  <si>
    <t xml:space="preserve">⑥ 王芳安装低风险「天气查询」 ⑦ 卸载再装验证幂等</t>
  </si>
  <si>
    <t xml:space="preserve">riskLevel=low</t>
  </si>
  <si>
    <t xml:space="preserve">TC-G1</t>
  </si>
  <si>
    <r>
      <rPr>
        <sz val="10"/>
        <rFont val="Noto Sans CJK SC"/>
        <family val="2"/>
      </rPr>
      <t xml:space="preserve">发布 高风险 </t>
    </r>
    <r>
      <rPr>
        <sz val="10"/>
        <rFont val="Arial"/>
        <family val="0"/>
        <charset val="1"/>
      </rPr>
      <t xml:space="preserve">Skill</t>
    </r>
    <r>
      <rPr>
        <sz val="10"/>
        <rFont val="Noto Sans CJK SC"/>
        <family val="2"/>
      </rPr>
      <t xml:space="preserve">：销售数据查询（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型）</t>
    </r>
  </si>
  <si>
    <t xml:space="preserve">提示已提交审核，状态不直接变已发布</t>
  </si>
  <si>
    <t xml:space="preserve">提交后状态：待审核</t>
  </si>
  <si>
    <t xml:space="preserve">TC-G2</t>
  </si>
  <si>
    <r>
      <rPr>
        <sz val="10"/>
        <rFont val="Noto Sans CJK SC"/>
        <family val="2"/>
      </rPr>
      <t xml:space="preserve">记录「天气查询」安装量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，点击安装</t>
    </r>
  </si>
  <si>
    <t xml:space="preserve">按钮变为「卸载」，计数刷新</t>
  </si>
  <si>
    <r>
      <rPr>
        <sz val="10"/>
        <rFont val="Noto Sans CJK SC"/>
        <family val="2"/>
      </rPr>
      <t xml:space="preserve">安装量：</t>
    </r>
    <r>
      <rPr>
        <sz val="10"/>
        <rFont val="Arial"/>
        <family val="0"/>
        <charset val="1"/>
      </rPr>
      <t xml:space="preserve">M+1</t>
    </r>
  </si>
  <si>
    <t xml:space="preserve">TC-G3</t>
  </si>
  <si>
    <t xml:space="preserve">卸载后再安装（幂等验证）</t>
  </si>
  <si>
    <t xml:space="preserve">计数不重复累加</t>
  </si>
  <si>
    <t xml:space="preserve">TC-G4</t>
  </si>
  <si>
    <r>
      <rPr>
        <sz val="10"/>
        <rFont val="Noto Sans CJK SC"/>
        <family val="2"/>
      </rPr>
      <t xml:space="preserve">创建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种类型各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</t>
    </r>
  </si>
  <si>
    <t xml:space="preserve">列表按类型筛选各能查到</t>
  </si>
  <si>
    <r>
      <rPr>
        <sz val="10"/>
        <rFont val="Noto Sans CJK SC"/>
        <family val="2"/>
      </rPr>
      <t xml:space="preserve">类型筛选结果数（每类）：</t>
    </r>
    <r>
      <rPr>
        <sz val="10"/>
        <rFont val="Arial"/>
        <family val="0"/>
        <charset val="1"/>
      </rPr>
      <t xml:space="preserve">1</t>
    </r>
  </si>
  <si>
    <t xml:space="preserve">业务场景：工作流：画布编辑→保存→执行（最小引擎）</t>
  </si>
  <si>
    <r>
      <rPr>
        <i val="true"/>
        <sz val="9"/>
        <color rgb="FF808080"/>
        <rFont val="Noto Sans CJK SC"/>
        <family val="2"/>
      </rPr>
      <t xml:space="preserve">启用阶段：切片</t>
    </r>
    <r>
      <rPr>
        <i val="true"/>
        <sz val="9"/>
        <color rgb="FF808080"/>
        <rFont val="Arial"/>
        <family val="0"/>
        <charset val="1"/>
      </rPr>
      <t xml:space="preserve">4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可执行实现：</t>
    </r>
    <r>
      <rPr>
        <i val="true"/>
        <sz val="9"/>
        <color rgb="FF808080"/>
        <rFont val="Arial"/>
        <family val="0"/>
        <charset val="1"/>
      </rPr>
      <t xml:space="preserve">tests/e2e/stages/s3-s5-later.spec.ts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用例设计：</t>
    </r>
    <r>
      <rPr>
        <i val="true"/>
        <sz val="9"/>
        <color rgb="FF808080"/>
        <rFont val="Arial"/>
        <family val="0"/>
        <charset val="1"/>
      </rPr>
      <t xml:space="preserve">docs/test-cases/TC-S4</t>
    </r>
  </si>
  <si>
    <t xml:space="preserve">工作流管理</t>
  </si>
  <si>
    <t xml:space="preserve">「创建工作流」</t>
  </si>
  <si>
    <t xml:space="preserve">① 李工登录 ② 新建「文档摘要流」</t>
  </si>
  <si>
    <t xml:space="preserve">画布编辑器</t>
  </si>
  <si>
    <t xml:space="preserve">节点面板拖拽</t>
  </si>
  <si>
    <r>
      <rPr>
        <sz val="10"/>
        <rFont val="Noto Sans CJK SC"/>
        <family val="2"/>
      </rPr>
      <t xml:space="preserve">③ 依次拖入 开始→</t>
    </r>
    <r>
      <rPr>
        <sz val="10"/>
        <rFont val="Arial"/>
        <family val="0"/>
        <charset val="1"/>
      </rPr>
      <t xml:space="preserve">LLM→</t>
    </r>
    <r>
      <rPr>
        <sz val="10"/>
        <rFont val="Noto Sans CJK SC"/>
        <family val="2"/>
      </rPr>
      <t xml:space="preserve">结束 ④ 连线 ⑤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节点填提示词</t>
    </r>
  </si>
  <si>
    <r>
      <rPr>
        <sz val="10"/>
        <rFont val="Noto Sans CJK SC"/>
        <family val="2"/>
      </rPr>
      <t xml:space="preserve">提示词：请把输入文本总结为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句话</t>
    </r>
  </si>
  <si>
    <r>
      <rPr>
        <sz val="10"/>
        <rFont val="Noto Sans CJK SC"/>
        <family val="2"/>
      </rPr>
      <t xml:space="preserve">「保存」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刷新</t>
    </r>
  </si>
  <si>
    <t xml:space="preserve">⑥ 保存 ⑦ 刷新页面验证画布恢复</t>
  </si>
  <si>
    <t xml:space="preserve">「运行」</t>
  </si>
  <si>
    <t xml:space="preserve">⑧ 填测试输入 ⑨ 执行 ⑩ 逐节点看状态 ⑪ 查看输出</t>
  </si>
  <si>
    <r>
      <rPr>
        <sz val="10"/>
        <rFont val="Noto Sans CJK SC"/>
        <family val="2"/>
      </rPr>
      <t xml:space="preserve">输入：</t>
    </r>
    <r>
      <rPr>
        <sz val="10"/>
        <rFont val="Arial"/>
        <family val="0"/>
        <charset val="1"/>
      </rPr>
      <t xml:space="preserve">AIPaddle </t>
    </r>
    <r>
      <rPr>
        <sz val="10"/>
        <rFont val="Noto Sans CJK SC"/>
        <family val="2"/>
      </rPr>
      <t xml:space="preserve">是企业级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运营管理平台…（固定文本）</t>
    </r>
  </si>
  <si>
    <t xml:space="preserve">TC-H1</t>
  </si>
  <si>
    <t xml:space="preserve">保存三节点流后刷新页面</t>
  </si>
  <si>
    <r>
      <rPr>
        <sz val="10"/>
        <rFont val="Noto Sans CJK SC"/>
        <family val="2"/>
      </rPr>
      <t xml:space="preserve">画布原样恢复（位置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连线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配置）</t>
    </r>
  </si>
  <si>
    <r>
      <rPr>
        <sz val="10"/>
        <rFont val="Noto Sans CJK SC"/>
        <family val="2"/>
      </rPr>
      <t xml:space="preserve">画布节点数量：</t>
    </r>
    <r>
      <rPr>
        <sz val="10"/>
        <rFont val="Arial"/>
        <family val="0"/>
        <charset val="1"/>
      </rPr>
      <t xml:space="preserve">3</t>
    </r>
  </si>
  <si>
    <t xml:space="preserve">TC-H2</t>
  </si>
  <si>
    <t xml:space="preserve">构造无开始节点的图并保存</t>
  </si>
  <si>
    <t xml:space="preserve">保存被拦截并定位问题</t>
  </si>
  <si>
    <t xml:space="preserve">错误提示关键词：缺少开始节点</t>
  </si>
  <si>
    <t xml:space="preserve">TC-H3</t>
  </si>
  <si>
    <r>
      <rPr>
        <sz val="10"/>
        <rFont val="Noto Sans CJK SC"/>
        <family val="2"/>
      </rPr>
      <t xml:space="preserve">执行「文档摘要流」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固定输入文本</t>
    </r>
  </si>
  <si>
    <r>
      <rPr>
        <sz val="10"/>
        <rFont val="Noto Sans CJK SC"/>
        <family val="2"/>
      </rPr>
      <t xml:space="preserve">三节点依次 </t>
    </r>
    <r>
      <rPr>
        <sz val="10"/>
        <rFont val="Arial"/>
        <family val="0"/>
        <charset val="1"/>
      </rPr>
      <t xml:space="preserve">running→succeeded</t>
    </r>
    <r>
      <rPr>
        <sz val="10"/>
        <rFont val="Noto Sans CJK SC"/>
        <family val="2"/>
      </rPr>
      <t xml:space="preserve">，输出摘要</t>
    </r>
  </si>
  <si>
    <r>
      <rPr>
        <sz val="10"/>
        <rFont val="Noto Sans CJK SC"/>
        <family val="2"/>
      </rPr>
      <t xml:space="preserve">成功节点数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输出包含：</t>
    </r>
    <r>
      <rPr>
        <sz val="10"/>
        <rFont val="Arial"/>
        <family val="0"/>
        <charset val="1"/>
      </rPr>
      <t xml:space="preserve">3 / AIPaddle</t>
    </r>
  </si>
  <si>
    <t xml:space="preserve">TC-H4</t>
  </si>
  <si>
    <t xml:space="preserve">构造自环连线并保存</t>
  </si>
  <si>
    <t xml:space="preserve">错误提示关键词：不允许循环连接</t>
  </si>
  <si>
    <r>
      <rPr>
        <b val="true"/>
        <sz val="14"/>
        <color rgb="FF1F3864"/>
        <rFont val="Noto Sans CJK SC"/>
        <family val="2"/>
      </rPr>
      <t xml:space="preserve">业务场景：成员管理与租户开通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</rPr>
      <t xml:space="preserve">停用</t>
    </r>
  </si>
  <si>
    <r>
      <rPr>
        <i val="true"/>
        <sz val="9"/>
        <color rgb="FF808080"/>
        <rFont val="Noto Sans CJK SC"/>
        <family val="2"/>
      </rPr>
      <t xml:space="preserve">启用阶段：切片</t>
    </r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可执行实现：</t>
    </r>
    <r>
      <rPr>
        <i val="true"/>
        <sz val="9"/>
        <color rgb="FF808080"/>
        <rFont val="Arial"/>
        <family val="0"/>
        <charset val="1"/>
      </rPr>
      <t xml:space="preserve">tests/e2e/stages/s3-s5-later.spec.ts</t>
    </r>
    <r>
      <rPr>
        <i val="true"/>
        <sz val="9"/>
        <color rgb="FF808080"/>
        <rFont val="Noto Sans CJK SC"/>
        <family val="2"/>
      </rPr>
      <t xml:space="preserve">　</t>
    </r>
    <r>
      <rPr>
        <i val="true"/>
        <sz val="9"/>
        <color rgb="FF808080"/>
        <rFont val="Arial"/>
        <family val="0"/>
        <charset val="1"/>
      </rPr>
      <t xml:space="preserve">|</t>
    </r>
    <r>
      <rPr>
        <i val="true"/>
        <sz val="9"/>
        <color rgb="FF808080"/>
        <rFont val="Noto Sans CJK SC"/>
        <family val="2"/>
      </rPr>
      <t xml:space="preserve">　用例设计：</t>
    </r>
    <r>
      <rPr>
        <i val="true"/>
        <sz val="9"/>
        <color rgb="FF808080"/>
        <rFont val="Arial"/>
        <family val="0"/>
        <charset val="1"/>
      </rPr>
      <t xml:space="preserve">docs/test-cases/TC-S5</t>
    </r>
  </si>
  <si>
    <t xml:space="preserve">成员管理</t>
  </si>
  <si>
    <t xml:space="preserve">「邀请成员」</t>
  </si>
  <si>
    <r>
      <rPr>
        <sz val="10"/>
        <rFont val="Noto Sans CJK SC"/>
        <family val="2"/>
      </rPr>
      <t xml:space="preserve">① 陈雪登录 ② 邀请吴新人</t>
    </r>
    <r>
      <rPr>
        <sz val="10"/>
        <rFont val="Arial"/>
        <family val="0"/>
        <charset val="1"/>
      </rPr>
      <t xml:space="preserve">(Developer/</t>
    </r>
    <r>
      <rPr>
        <sz val="10"/>
        <rFont val="Noto Sans CJK SC"/>
        <family val="2"/>
      </rPr>
      <t xml:space="preserve">研发部</t>
    </r>
    <r>
      <rPr>
        <sz val="10"/>
        <rFont val="Arial"/>
        <family val="0"/>
        <charset val="1"/>
      </rPr>
      <t xml:space="preserve">) ③ </t>
    </r>
    <r>
      <rPr>
        <sz val="10"/>
        <rFont val="Noto Sans CJK SC"/>
        <family val="2"/>
      </rPr>
      <t xml:space="preserve">重复邀请验证幂等</t>
    </r>
  </si>
  <si>
    <t xml:space="preserve">new.dev@aipaddle-test.local</t>
  </si>
  <si>
    <t xml:space="preserve">租户管理</t>
  </si>
  <si>
    <t xml:space="preserve">「开通企业」四区块表单</t>
  </si>
  <si>
    <r>
      <rPr>
        <sz val="10"/>
        <rFont val="Noto Sans CJK SC"/>
        <family val="2"/>
      </rPr>
      <t xml:space="preserve">④ 填企业信息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联系人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套餐配额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高级设置 ⑤ 提交</t>
    </r>
  </si>
  <si>
    <r>
      <rPr>
        <sz val="10"/>
        <rFont val="Noto Sans CJK SC"/>
        <family val="2"/>
      </rPr>
      <t xml:space="preserve">新奇点智能 </t>
    </r>
    <r>
      <rPr>
        <sz val="10"/>
        <rFont val="Arial"/>
        <family val="0"/>
        <charset val="1"/>
      </rPr>
      <t xml:space="preserve">XQD-AI / </t>
    </r>
    <r>
      <rPr>
        <sz val="10"/>
        <rFont val="Noto Sans CJK SC"/>
        <family val="2"/>
      </rPr>
      <t xml:space="preserve">标准版 </t>
    </r>
    <r>
      <rPr>
        <sz val="10"/>
        <rFont val="Arial"/>
        <family val="0"/>
        <charset val="1"/>
      </rPr>
      <t xml:space="preserve">/ Token 1,000,000</t>
    </r>
  </si>
  <si>
    <r>
      <rPr>
        <sz val="10"/>
        <rFont val="Noto Sans CJK SC"/>
        <family val="2"/>
      </rPr>
      <t xml:space="preserve">租户管理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列表</t>
    </r>
  </si>
  <si>
    <t xml:space="preserve">「暂停服务」</t>
  </si>
  <si>
    <t xml:space="preserve">⑥ 暂停新租户 ⑦ 用其账号尝试登录</t>
  </si>
  <si>
    <t xml:space="preserve">zhou.xin@aipaddle-test.local</t>
  </si>
  <si>
    <t xml:space="preserve">TC-I1</t>
  </si>
  <si>
    <r>
      <rPr>
        <sz val="10"/>
        <rFont val="Noto Sans CJK SC"/>
        <family val="2"/>
      </rPr>
      <t xml:space="preserve">邀请 </t>
    </r>
    <r>
      <rPr>
        <sz val="10"/>
        <rFont val="Arial"/>
        <family val="0"/>
        <charset val="1"/>
      </rPr>
      <t xml:space="preserve">new.dev@aipaddle-test.local</t>
    </r>
    <r>
      <rPr>
        <sz val="10"/>
        <rFont val="Noto Sans CJK SC"/>
        <family val="2"/>
      </rPr>
      <t xml:space="preserve">，随后重复邀请一次</t>
    </r>
  </si>
  <si>
    <t xml:space="preserve">第一次成功，第二次提示已邀请</t>
  </si>
  <si>
    <r>
      <rPr>
        <sz val="10"/>
        <rFont val="Noto Sans CJK SC"/>
        <family val="2"/>
      </rPr>
      <t xml:space="preserve">成员列表该邮箱行数：</t>
    </r>
    <r>
      <rPr>
        <sz val="10"/>
        <rFont val="Arial"/>
        <family val="0"/>
        <charset val="1"/>
      </rPr>
      <t xml:space="preserve">1</t>
    </r>
  </si>
  <si>
    <t xml:space="preserve">TC-I2</t>
  </si>
  <si>
    <r>
      <rPr>
        <sz val="10"/>
        <rFont val="Noto Sans CJK SC"/>
        <family val="2"/>
      </rPr>
      <t xml:space="preserve">开通企业：新奇点智能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编码 </t>
    </r>
    <r>
      <rPr>
        <sz val="10"/>
        <rFont val="Arial"/>
        <family val="0"/>
        <charset val="1"/>
      </rPr>
      <t xml:space="preserve">XQD-AI / Token </t>
    </r>
    <r>
      <rPr>
        <sz val="10"/>
        <rFont val="Noto Sans CJK SC"/>
        <family val="2"/>
      </rPr>
      <t xml:space="preserve">配额 </t>
    </r>
    <r>
      <rPr>
        <sz val="10"/>
        <rFont val="Arial"/>
        <family val="0"/>
        <charset val="1"/>
      </rPr>
      <t xml:space="preserve">1000000</t>
    </r>
  </si>
  <si>
    <t xml:space="preserve">列表新增租户，配额正确显示</t>
  </si>
  <si>
    <r>
      <rPr>
        <sz val="10"/>
        <rFont val="Noto Sans CJK SC"/>
        <family val="2"/>
      </rPr>
      <t xml:space="preserve">详情页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配额：</t>
    </r>
    <r>
      <rPr>
        <sz val="10"/>
        <rFont val="Arial"/>
        <family val="0"/>
        <charset val="1"/>
      </rPr>
      <t xml:space="preserve">1000000</t>
    </r>
  </si>
  <si>
    <t xml:space="preserve">TC-I3</t>
  </si>
  <si>
    <r>
      <rPr>
        <sz val="10"/>
        <rFont val="Noto Sans CJK SC"/>
        <family val="2"/>
      </rPr>
      <t xml:space="preserve">开通企业：编码填 </t>
    </r>
    <r>
      <rPr>
        <sz val="10"/>
        <rFont val="Arial"/>
        <family val="0"/>
        <charset val="1"/>
      </rPr>
      <t xml:space="preserve">DEMO-TECH</t>
    </r>
    <r>
      <rPr>
        <sz val="10"/>
        <rFont val="Noto Sans CJK SC"/>
        <family val="2"/>
      </rPr>
      <t xml:space="preserve">（与示范科技冲突）</t>
    </r>
  </si>
  <si>
    <t xml:space="preserve">提交被拒</t>
  </si>
  <si>
    <t xml:space="preserve">错误提示关键词：编码已存在</t>
  </si>
  <si>
    <t xml:space="preserve">TC-I4</t>
  </si>
  <si>
    <t xml:space="preserve">暂停「新奇点智能」后用周新账号登录</t>
  </si>
  <si>
    <t xml:space="preserve">登录被拒并提示租户已暂停</t>
  </si>
  <si>
    <t xml:space="preserve">登录结果：拒绝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</si>
</sst>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F2F6FB"/>
        <bgColor rgb="FFFFFFFF"/>
      </patternFill>
    </fill>
    <fill>
      <patternFill patternType="solid">
        <fgColor rgb="FFD6E4F0"/>
        <bgColor rgb="FFF2F6FB"/>
      </patternFill>
    </fill>
    <fill>
      <patternFill patternType="solid">
        <fgColor rgb="FFFFF2CC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2CC"/>
      <rgbColor rgb="FFF2F6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9.85" hidden="false" customHeight="fals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4" t="s">
        <v>15</v>
      </c>
      <c r="F5" s="4" t="s">
        <v>16</v>
      </c>
      <c r="G5" s="4" t="n">
        <f aca="false">COUNTIF('A-原型冒烟'!A:A,"TC-*")</f>
        <v>4</v>
      </c>
      <c r="H5" s="4" t="n">
        <f aca="false">COUNTIF('A-原型冒烟'!G:G,"✅ 通过")</f>
        <v>0</v>
      </c>
      <c r="I5" s="4" t="n">
        <f aca="false">COUNTIF('A-原型冒烟'!G:G,"待测")</f>
        <v>4</v>
      </c>
    </row>
    <row r="6" customFormat="false" ht="23.85" hidden="false" customHeight="false" outlineLevel="0" collapsed="false">
      <c r="A6" s="6" t="s">
        <v>17</v>
      </c>
      <c r="B6" s="7" t="s">
        <v>18</v>
      </c>
      <c r="C6" s="7" t="s">
        <v>19</v>
      </c>
      <c r="D6" s="7" t="s">
        <v>20</v>
      </c>
      <c r="E6" s="6" t="s">
        <v>21</v>
      </c>
      <c r="F6" s="6" t="s">
        <v>22</v>
      </c>
      <c r="G6" s="6" t="n">
        <f aca="false">COUNTIF('B-登录认证'!A:A,"TC-*")</f>
        <v>5</v>
      </c>
      <c r="H6" s="6" t="n">
        <f aca="false">COUNTIF('B-登录认证'!G:G,"✅ 通过")</f>
        <v>0</v>
      </c>
      <c r="I6" s="6" t="n">
        <f aca="false">COUNTIF('B-登录认证'!G:G,"待测")</f>
        <v>5</v>
      </c>
    </row>
    <row r="7" customFormat="false" ht="29.85" hidden="false" customHeight="false" outlineLevel="0" collapsed="false">
      <c r="A7" s="4" t="s">
        <v>23</v>
      </c>
      <c r="B7" s="5" t="s">
        <v>24</v>
      </c>
      <c r="C7" s="4" t="s">
        <v>25</v>
      </c>
      <c r="D7" s="5" t="s">
        <v>20</v>
      </c>
      <c r="E7" s="4" t="s">
        <v>21</v>
      </c>
      <c r="F7" s="4" t="s">
        <v>26</v>
      </c>
      <c r="G7" s="4" t="n">
        <f aca="false">COUNTIF('C-租户隔离'!A:A,"TC-*")</f>
        <v>4</v>
      </c>
      <c r="H7" s="4" t="n">
        <f aca="false">COUNTIF('C-租户隔离'!G:G,"✅ 通过")</f>
        <v>0</v>
      </c>
      <c r="I7" s="4" t="n">
        <f aca="false">COUNTIF('C-租户隔离'!G:G,"待测")</f>
        <v>4</v>
      </c>
    </row>
    <row r="8" customFormat="false" ht="29.85" hidden="false" customHeight="false" outlineLevel="0" collapsed="false">
      <c r="A8" s="6" t="s">
        <v>27</v>
      </c>
      <c r="B8" s="6" t="s">
        <v>28</v>
      </c>
      <c r="C8" s="6" t="s">
        <v>29</v>
      </c>
      <c r="D8" s="7" t="s">
        <v>30</v>
      </c>
      <c r="E8" s="6" t="s">
        <v>31</v>
      </c>
      <c r="F8" s="6" t="s">
        <v>32</v>
      </c>
      <c r="G8" s="6" t="n">
        <f aca="false">COUNTIF('D-Agent生命周期'!A:A,"TC-*")</f>
        <v>6</v>
      </c>
      <c r="H8" s="6" t="n">
        <f aca="false">COUNTIF('D-Agent生命周期'!G:G,"✅ 通过")</f>
        <v>0</v>
      </c>
      <c r="I8" s="6" t="n">
        <f aca="false">COUNTIF('D-Agent生命周期'!G:G,"待测")</f>
        <v>6</v>
      </c>
    </row>
    <row r="9" customFormat="false" ht="29.85" hidden="false" customHeight="false" outlineLevel="0" collapsed="false">
      <c r="A9" s="4" t="s">
        <v>33</v>
      </c>
      <c r="B9" s="5" t="s">
        <v>34</v>
      </c>
      <c r="C9" s="4" t="s">
        <v>35</v>
      </c>
      <c r="D9" s="5" t="s">
        <v>30</v>
      </c>
      <c r="E9" s="4" t="s">
        <v>31</v>
      </c>
      <c r="F9" s="4" t="s">
        <v>36</v>
      </c>
      <c r="G9" s="4" t="n">
        <f aca="false">COUNTIF('E-数字员工对话'!A:A,"TC-*")</f>
        <v>4</v>
      </c>
      <c r="H9" s="4" t="n">
        <f aca="false">COUNTIF('E-数字员工对话'!G:G,"✅ 通过")</f>
        <v>0</v>
      </c>
      <c r="I9" s="4" t="n">
        <f aca="false">COUNTIF('E-数字员工对话'!G:G,"待测")</f>
        <v>4</v>
      </c>
    </row>
    <row r="10" customFormat="false" ht="29.85" hidden="false" customHeight="false" outlineLevel="0" collapsed="false">
      <c r="A10" s="6" t="s">
        <v>37</v>
      </c>
      <c r="B10" s="7" t="s">
        <v>38</v>
      </c>
      <c r="C10" s="6" t="s">
        <v>39</v>
      </c>
      <c r="D10" s="7" t="s">
        <v>40</v>
      </c>
      <c r="E10" s="6" t="s">
        <v>41</v>
      </c>
      <c r="F10" s="6" t="s">
        <v>42</v>
      </c>
      <c r="G10" s="6" t="n">
        <f aca="false">COUNTIF('F-知识库RAG'!A:A,"TC-*")</f>
        <v>6</v>
      </c>
      <c r="H10" s="6" t="n">
        <f aca="false">COUNTIF('F-知识库RAG'!G:G,"✅ 通过")</f>
        <v>0</v>
      </c>
      <c r="I10" s="6" t="n">
        <f aca="false">COUNTIF('F-知识库RAG'!G:G,"待测")</f>
        <v>6</v>
      </c>
    </row>
    <row r="11" customFormat="false" ht="15" hidden="false" customHeight="false" outlineLevel="0" collapsed="false">
      <c r="A11" s="4" t="s">
        <v>43</v>
      </c>
      <c r="B11" s="4" t="s">
        <v>44</v>
      </c>
      <c r="C11" s="4" t="s">
        <v>45</v>
      </c>
      <c r="D11" s="5" t="s">
        <v>46</v>
      </c>
      <c r="E11" s="4" t="s">
        <v>47</v>
      </c>
      <c r="F11" s="4" t="s">
        <v>48</v>
      </c>
      <c r="G11" s="4" t="n">
        <f aca="false">COUNTIF('G-SkillHub'!A:A,"TC-*")</f>
        <v>4</v>
      </c>
      <c r="H11" s="4" t="n">
        <f aca="false">COUNTIF('G-SkillHub'!G:G,"✅ 通过")</f>
        <v>0</v>
      </c>
      <c r="I11" s="4" t="n">
        <f aca="false">COUNTIF('G-SkillHub'!G:G,"待测")</f>
        <v>4</v>
      </c>
    </row>
    <row r="12" customFormat="false" ht="15" hidden="false" customHeight="false" outlineLevel="0" collapsed="false">
      <c r="A12" s="6" t="s">
        <v>49</v>
      </c>
      <c r="B12" s="7" t="s">
        <v>50</v>
      </c>
      <c r="C12" s="7" t="s">
        <v>51</v>
      </c>
      <c r="D12" s="7" t="s">
        <v>52</v>
      </c>
      <c r="E12" s="6" t="s">
        <v>47</v>
      </c>
      <c r="F12" s="6" t="s">
        <v>53</v>
      </c>
      <c r="G12" s="6" t="n">
        <f aca="false">COUNTIF('H-工作流'!A:A,"TC-*")</f>
        <v>4</v>
      </c>
      <c r="H12" s="6" t="n">
        <f aca="false">COUNTIF('H-工作流'!G:G,"✅ 通过")</f>
        <v>0</v>
      </c>
      <c r="I12" s="6" t="n">
        <f aca="false">COUNTIF('H-工作流'!G:G,"待测")</f>
        <v>4</v>
      </c>
    </row>
    <row r="13" customFormat="false" ht="15" hidden="false" customHeight="false" outlineLevel="0" collapsed="false">
      <c r="A13" s="4" t="s">
        <v>54</v>
      </c>
      <c r="B13" s="5" t="s">
        <v>55</v>
      </c>
      <c r="C13" s="5" t="s">
        <v>56</v>
      </c>
      <c r="D13" s="5" t="s">
        <v>57</v>
      </c>
      <c r="E13" s="4" t="s">
        <v>47</v>
      </c>
      <c r="F13" s="4" t="s">
        <v>58</v>
      </c>
      <c r="G13" s="4" t="n">
        <f aca="false">COUNTIF('I-成员租户'!A:A,"TC-*")</f>
        <v>4</v>
      </c>
      <c r="H13" s="4" t="n">
        <f aca="false">COUNTIF('I-成员租户'!G:G,"✅ 通过")</f>
        <v>0</v>
      </c>
      <c r="I13" s="4" t="n">
        <f aca="false">COUNTIF('I-成员租户'!G:G,"待测")</f>
        <v>4</v>
      </c>
    </row>
    <row r="14" customFormat="false" ht="15" hidden="false" customHeight="false" outlineLevel="0" collapsed="false">
      <c r="F14" s="8" t="s">
        <v>59</v>
      </c>
      <c r="G14" s="9" t="n">
        <f aca="false">SUM(G5:G13)</f>
        <v>41</v>
      </c>
      <c r="H14" s="9" t="n">
        <f aca="false">SUM(H5:H13)</f>
        <v>0</v>
      </c>
      <c r="I14" s="9" t="n">
        <f aca="false">SUM(I5:I13)</f>
        <v>41</v>
      </c>
    </row>
    <row r="16" customFormat="false" ht="15" hidden="false" customHeight="false" outlineLevel="0" collapsed="false">
      <c r="A16" s="8" t="s">
        <v>60</v>
      </c>
      <c r="B16" s="2" t="s">
        <v>61</v>
      </c>
    </row>
    <row r="17" customFormat="false" ht="15" hidden="false" customHeight="false" outlineLevel="0" collapsed="false">
      <c r="B17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0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11" t="s">
        <v>65</v>
      </c>
    </row>
    <row r="5" customFormat="false" ht="17.15" hidden="false" customHeight="fals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</row>
    <row r="6" customFormat="false" ht="15" hidden="false" customHeight="false" outlineLevel="0" collapsed="false">
      <c r="A6" s="6" t="n">
        <v>1</v>
      </c>
      <c r="B6" s="7" t="s">
        <v>72</v>
      </c>
      <c r="C6" s="7" t="s">
        <v>73</v>
      </c>
      <c r="D6" s="7" t="s">
        <v>74</v>
      </c>
      <c r="E6" s="6" t="s">
        <v>75</v>
      </c>
      <c r="F6" s="6" t="s">
        <v>76</v>
      </c>
    </row>
    <row r="7" customFormat="false" ht="15" hidden="false" customHeight="false" outlineLevel="0" collapsed="false">
      <c r="A7" s="4" t="n">
        <v>2</v>
      </c>
      <c r="B7" s="5" t="s">
        <v>72</v>
      </c>
      <c r="C7" s="5" t="s">
        <v>77</v>
      </c>
      <c r="D7" s="5" t="s">
        <v>78</v>
      </c>
      <c r="E7" s="5" t="s">
        <v>79</v>
      </c>
      <c r="F7" s="4" t="s">
        <v>76</v>
      </c>
    </row>
    <row r="8" customFormat="false" ht="29.85" hidden="false" customHeight="false" outlineLevel="0" collapsed="false">
      <c r="A8" s="6" t="n">
        <v>3</v>
      </c>
      <c r="B8" s="7" t="s">
        <v>80</v>
      </c>
      <c r="C8" s="7" t="s">
        <v>81</v>
      </c>
      <c r="D8" s="7" t="s">
        <v>82</v>
      </c>
      <c r="E8" s="7" t="s">
        <v>83</v>
      </c>
      <c r="F8" s="6" t="s">
        <v>84</v>
      </c>
    </row>
    <row r="9" customFormat="false" ht="15" hidden="false" customHeight="false" outlineLevel="0" collapsed="false">
      <c r="A9" s="4" t="n">
        <v>4</v>
      </c>
      <c r="B9" s="5" t="s">
        <v>85</v>
      </c>
      <c r="C9" s="4" t="s">
        <v>86</v>
      </c>
      <c r="D9" s="5" t="s">
        <v>87</v>
      </c>
      <c r="E9" s="5" t="s">
        <v>88</v>
      </c>
      <c r="F9" s="4" t="s">
        <v>76</v>
      </c>
    </row>
    <row r="10" customFormat="false" ht="15" hidden="false" customHeight="false" outlineLevel="0" collapsed="false">
      <c r="A10" s="6" t="n">
        <v>5</v>
      </c>
      <c r="B10" s="6" t="s">
        <v>76</v>
      </c>
      <c r="C10" s="7" t="s">
        <v>89</v>
      </c>
      <c r="D10" s="7" t="s">
        <v>90</v>
      </c>
      <c r="E10" s="7" t="s">
        <v>91</v>
      </c>
      <c r="F10" s="7" t="s">
        <v>92</v>
      </c>
    </row>
    <row r="12" customFormat="false" ht="17.15" hidden="false" customHeight="false" outlineLevel="0" collapsed="false">
      <c r="A12" s="11" t="s">
        <v>93</v>
      </c>
    </row>
    <row r="13" customFormat="false" ht="32.8" hidden="false" customHeight="false" outlineLevel="0" collapsed="false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</row>
    <row r="14" customFormat="false" ht="15" hidden="false" customHeight="false" outlineLevel="0" collapsed="false">
      <c r="A14" s="4" t="s">
        <v>101</v>
      </c>
      <c r="B14" s="5" t="s">
        <v>102</v>
      </c>
      <c r="C14" s="5" t="s">
        <v>103</v>
      </c>
      <c r="D14" s="12" t="s">
        <v>104</v>
      </c>
      <c r="E14" s="5" t="s">
        <v>105</v>
      </c>
      <c r="F14" s="13"/>
      <c r="G14" s="4" t="str">
        <f aca="false">IF(F14="","待测",IF(TEXT(F14,"@")="Agent 管理","✅ 通过","❌ 不一致"))</f>
        <v>待测</v>
      </c>
    </row>
    <row r="15" customFormat="false" ht="15" hidden="false" customHeight="false" outlineLevel="0" collapsed="false">
      <c r="A15" s="4" t="s">
        <v>106</v>
      </c>
      <c r="B15" s="5" t="s">
        <v>107</v>
      </c>
      <c r="C15" s="5" t="s">
        <v>108</v>
      </c>
      <c r="D15" s="12" t="s">
        <v>104</v>
      </c>
      <c r="E15" s="5" t="s">
        <v>109</v>
      </c>
      <c r="F15" s="13"/>
      <c r="G15" s="4" t="str">
        <f aca="false">IF(F15="","待测",IF(TEXT(F15,"@")="功能开发中","✅ 通过","❌ 不一致"))</f>
        <v>待测</v>
      </c>
    </row>
    <row r="16" customFormat="false" ht="15" hidden="false" customHeight="false" outlineLevel="0" collapsed="false">
      <c r="A16" s="4" t="s">
        <v>110</v>
      </c>
      <c r="B16" s="5" t="s">
        <v>111</v>
      </c>
      <c r="C16" s="5" t="s">
        <v>112</v>
      </c>
      <c r="D16" s="12" t="s">
        <v>104</v>
      </c>
      <c r="E16" s="5" t="s">
        <v>113</v>
      </c>
      <c r="F16" s="13"/>
      <c r="G16" s="4" t="str">
        <f aca="false">IF(F16="","待测",IF(TEXT(F16,"@")="15","✅ 通过","❌ 不一致"))</f>
        <v>待测</v>
      </c>
    </row>
    <row r="17" customFormat="false" ht="15" hidden="false" customHeight="false" outlineLevel="0" collapsed="false">
      <c r="A17" s="4" t="s">
        <v>114</v>
      </c>
      <c r="B17" s="5" t="s">
        <v>115</v>
      </c>
      <c r="C17" s="5" t="s">
        <v>116</v>
      </c>
      <c r="D17" s="12" t="s">
        <v>104</v>
      </c>
      <c r="E17" s="4" t="s">
        <v>117</v>
      </c>
      <c r="F17" s="13"/>
      <c r="G17" s="4" t="str">
        <f aca="false">IF(F17="","待测",IF(TEXT(F17,"@")="已切换","✅ 通过","❌ 不一致"))</f>
        <v>待测</v>
      </c>
    </row>
    <row r="19" customFormat="false" ht="14.15" hidden="false" customHeight="false" outlineLevel="0" collapsed="false">
      <c r="A19" s="14" t="s">
        <v>118</v>
      </c>
      <c r="B19" s="14"/>
      <c r="C19" s="14"/>
      <c r="D19" s="14"/>
      <c r="E19" s="14"/>
      <c r="F19" s="14"/>
      <c r="G19" s="14"/>
    </row>
  </sheetData>
  <mergeCells count="1">
    <mergeCell ref="A19:G19"/>
  </mergeCells>
  <dataValidations count="1">
    <dataValidation allowBlank="true" errorStyle="stop" operator="between" showDropDown="false" showErrorMessage="false" showInputMessage="false" sqref="D14:D17" type="list">
      <formula1>"待测,通过,不通过"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21.6" hidden="false" customHeight="false" outlineLevel="0" collapsed="false">
      <c r="A1" s="10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11" t="s">
        <v>65</v>
      </c>
    </row>
    <row r="5" customFormat="false" ht="17.15" hidden="false" customHeight="fals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</row>
    <row r="6" customFormat="false" ht="15" hidden="false" customHeight="false" outlineLevel="0" collapsed="false">
      <c r="A6" s="6" t="n">
        <v>1</v>
      </c>
      <c r="B6" s="7" t="s">
        <v>121</v>
      </c>
      <c r="C6" s="6" t="s">
        <v>122</v>
      </c>
      <c r="D6" s="7" t="s">
        <v>123</v>
      </c>
      <c r="E6" s="7" t="s">
        <v>124</v>
      </c>
      <c r="F6" s="6" t="s">
        <v>125</v>
      </c>
    </row>
    <row r="7" customFormat="false" ht="23.85" hidden="false" customHeight="false" outlineLevel="0" collapsed="false">
      <c r="A7" s="4" t="n">
        <v>2</v>
      </c>
      <c r="B7" s="5" t="s">
        <v>121</v>
      </c>
      <c r="C7" s="4" t="s">
        <v>126</v>
      </c>
      <c r="D7" s="5" t="s">
        <v>127</v>
      </c>
      <c r="E7" s="5" t="s">
        <v>128</v>
      </c>
      <c r="F7" s="4" t="s">
        <v>129</v>
      </c>
    </row>
    <row r="8" customFormat="false" ht="15" hidden="false" customHeight="false" outlineLevel="0" collapsed="false">
      <c r="A8" s="6" t="n">
        <v>3</v>
      </c>
      <c r="B8" s="7" t="s">
        <v>72</v>
      </c>
      <c r="C8" s="7" t="s">
        <v>130</v>
      </c>
      <c r="D8" s="7" t="s">
        <v>131</v>
      </c>
      <c r="E8" s="7" t="s">
        <v>132</v>
      </c>
      <c r="F8" s="7" t="s">
        <v>133</v>
      </c>
    </row>
    <row r="9" customFormat="false" ht="15" hidden="false" customHeight="false" outlineLevel="0" collapsed="false">
      <c r="A9" s="4" t="n">
        <v>4</v>
      </c>
      <c r="B9" s="4" t="s">
        <v>76</v>
      </c>
      <c r="C9" s="5" t="s">
        <v>89</v>
      </c>
      <c r="D9" s="5" t="s">
        <v>134</v>
      </c>
      <c r="E9" s="5" t="s">
        <v>135</v>
      </c>
      <c r="F9" s="4" t="s">
        <v>76</v>
      </c>
    </row>
    <row r="10" customFormat="false" ht="15" hidden="false" customHeight="false" outlineLevel="0" collapsed="false">
      <c r="A10" s="6" t="n">
        <v>5</v>
      </c>
      <c r="B10" s="7" t="s">
        <v>121</v>
      </c>
      <c r="C10" s="6" t="s">
        <v>136</v>
      </c>
      <c r="D10" s="7" t="s">
        <v>137</v>
      </c>
      <c r="E10" s="7" t="s">
        <v>138</v>
      </c>
      <c r="F10" s="6" t="s">
        <v>76</v>
      </c>
    </row>
    <row r="12" customFormat="false" ht="17.15" hidden="false" customHeight="false" outlineLevel="0" collapsed="false">
      <c r="A12" s="11" t="s">
        <v>93</v>
      </c>
    </row>
    <row r="13" customFormat="false" ht="32.8" hidden="false" customHeight="false" outlineLevel="0" collapsed="false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</row>
    <row r="14" customFormat="false" ht="26.85" hidden="false" customHeight="false" outlineLevel="0" collapsed="false">
      <c r="A14" s="4" t="s">
        <v>139</v>
      </c>
      <c r="B14" s="5" t="s">
        <v>140</v>
      </c>
      <c r="C14" s="5" t="s">
        <v>141</v>
      </c>
      <c r="D14" s="12" t="s">
        <v>104</v>
      </c>
      <c r="E14" s="5" t="s">
        <v>142</v>
      </c>
      <c r="F14" s="13"/>
      <c r="G14" s="4" t="str">
        <f aca="false">IF(F14="","待测",IF(TEXT(F14,"@")="陈雪","✅ 通过","❌ 不一致"))</f>
        <v>待测</v>
      </c>
    </row>
    <row r="15" customFormat="false" ht="26.85" hidden="false" customHeight="false" outlineLevel="0" collapsed="false">
      <c r="A15" s="4" t="s">
        <v>143</v>
      </c>
      <c r="B15" s="5" t="s">
        <v>144</v>
      </c>
      <c r="C15" s="5" t="s">
        <v>145</v>
      </c>
      <c r="D15" s="12" t="s">
        <v>104</v>
      </c>
      <c r="E15" s="5" t="s">
        <v>146</v>
      </c>
      <c r="F15" s="13"/>
      <c r="G15" s="4" t="str">
        <f aca="false">IF(F15="","待测",IF(TEXT(F15,"@")="密码错误","✅ 通过","❌ 不一致"))</f>
        <v>待测</v>
      </c>
    </row>
    <row r="16" customFormat="false" ht="15" hidden="false" customHeight="false" outlineLevel="0" collapsed="false">
      <c r="A16" s="4" t="s">
        <v>147</v>
      </c>
      <c r="B16" s="5" t="s">
        <v>148</v>
      </c>
      <c r="C16" s="5" t="s">
        <v>149</v>
      </c>
      <c r="D16" s="12" t="s">
        <v>104</v>
      </c>
      <c r="E16" s="5" t="s">
        <v>150</v>
      </c>
      <c r="F16" s="13"/>
      <c r="G16" s="4" t="str">
        <f aca="false">IF(F16="","待测",IF(TEXT(F16,"@")="邮箱格式","✅ 通过","❌ 不一致"))</f>
        <v>待测</v>
      </c>
    </row>
    <row r="17" customFormat="false" ht="26.85" hidden="false" customHeight="false" outlineLevel="0" collapsed="false">
      <c r="A17" s="4" t="s">
        <v>151</v>
      </c>
      <c r="B17" s="5" t="s">
        <v>152</v>
      </c>
      <c r="C17" s="5" t="s">
        <v>153</v>
      </c>
      <c r="D17" s="12" t="s">
        <v>104</v>
      </c>
      <c r="E17" s="5" t="s">
        <v>154</v>
      </c>
      <c r="F17" s="13"/>
      <c r="G17" s="4" t="str">
        <f aca="false">IF(F17="","待测",IF(TEXT(F17,"@")="已注册","✅ 通过","❌ 不一致"))</f>
        <v>待测</v>
      </c>
    </row>
    <row r="18" customFormat="false" ht="15" hidden="false" customHeight="false" outlineLevel="0" collapsed="false">
      <c r="A18" s="4" t="s">
        <v>155</v>
      </c>
      <c r="B18" s="5" t="s">
        <v>156</v>
      </c>
      <c r="C18" s="5" t="s">
        <v>157</v>
      </c>
      <c r="D18" s="12" t="s">
        <v>104</v>
      </c>
      <c r="E18" s="5" t="s">
        <v>158</v>
      </c>
      <c r="F18" s="13"/>
      <c r="G18" s="4" t="str">
        <f aca="false">IF(F18="","待测",IF(TEXT(F18,"@")="/login","✅ 通过","❌ 不一致"))</f>
        <v>待测</v>
      </c>
    </row>
    <row r="20" customFormat="false" ht="14.15" hidden="false" customHeight="false" outlineLevel="0" collapsed="false">
      <c r="A20" s="14" t="s">
        <v>118</v>
      </c>
      <c r="B20" s="14"/>
      <c r="C20" s="14"/>
      <c r="D20" s="14"/>
      <c r="E20" s="14"/>
      <c r="F20" s="14"/>
      <c r="G20" s="14"/>
    </row>
  </sheetData>
  <mergeCells count="1">
    <mergeCell ref="A20:G20"/>
  </mergeCells>
  <dataValidations count="1">
    <dataValidation allowBlank="true" errorStyle="stop" operator="between" showDropDown="false" showErrorMessage="false" showInputMessage="false" sqref="D14:D18" type="list">
      <formula1>"待测,通过,不通过"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21.6" hidden="false" customHeight="false" outlineLevel="0" collapsed="false">
      <c r="A1" s="10" t="s">
        <v>159</v>
      </c>
    </row>
    <row r="2" customFormat="false" ht="15" hidden="false" customHeight="false" outlineLevel="0" collapsed="false">
      <c r="A2" s="2" t="s">
        <v>160</v>
      </c>
    </row>
    <row r="4" customFormat="false" ht="15" hidden="false" customHeight="false" outlineLevel="0" collapsed="false">
      <c r="A4" s="11" t="s">
        <v>65</v>
      </c>
    </row>
    <row r="5" customFormat="false" ht="17.15" hidden="false" customHeight="fals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</row>
    <row r="6" customFormat="false" ht="23.85" hidden="false" customHeight="false" outlineLevel="0" collapsed="false">
      <c r="A6" s="6" t="n">
        <v>1</v>
      </c>
      <c r="B6" s="7" t="s">
        <v>121</v>
      </c>
      <c r="C6" s="6" t="s">
        <v>136</v>
      </c>
      <c r="D6" s="7" t="s">
        <v>161</v>
      </c>
      <c r="E6" s="7" t="s">
        <v>162</v>
      </c>
      <c r="F6" s="6" t="s">
        <v>163</v>
      </c>
    </row>
    <row r="7" customFormat="false" ht="26.85" hidden="false" customHeight="false" outlineLevel="0" collapsed="false">
      <c r="A7" s="4" t="n">
        <v>2</v>
      </c>
      <c r="B7" s="4" t="s">
        <v>164</v>
      </c>
      <c r="C7" s="4" t="s">
        <v>165</v>
      </c>
      <c r="D7" s="5" t="s">
        <v>166</v>
      </c>
      <c r="E7" s="5" t="s">
        <v>167</v>
      </c>
      <c r="F7" s="4" t="s">
        <v>168</v>
      </c>
    </row>
    <row r="8" customFormat="false" ht="15" hidden="false" customHeight="false" outlineLevel="0" collapsed="false">
      <c r="A8" s="6" t="n">
        <v>3</v>
      </c>
      <c r="B8" s="6" t="s">
        <v>76</v>
      </c>
      <c r="C8" s="6" t="s">
        <v>169</v>
      </c>
      <c r="D8" s="7" t="s">
        <v>170</v>
      </c>
      <c r="E8" s="7" t="s">
        <v>171</v>
      </c>
      <c r="F8" s="6" t="s">
        <v>172</v>
      </c>
    </row>
    <row r="9" customFormat="false" ht="15" hidden="false" customHeight="false" outlineLevel="0" collapsed="false">
      <c r="A9" s="4" t="n">
        <v>4</v>
      </c>
      <c r="B9" s="4" t="s">
        <v>76</v>
      </c>
      <c r="C9" s="4" t="s">
        <v>169</v>
      </c>
      <c r="D9" s="5" t="s">
        <v>173</v>
      </c>
      <c r="E9" s="5" t="s">
        <v>174</v>
      </c>
      <c r="F9" s="4" t="s">
        <v>175</v>
      </c>
    </row>
    <row r="10" customFormat="false" ht="15" hidden="false" customHeight="false" outlineLevel="0" collapsed="false">
      <c r="A10" s="6" t="n">
        <v>5</v>
      </c>
      <c r="B10" s="6" t="s">
        <v>76</v>
      </c>
      <c r="C10" s="6" t="s">
        <v>169</v>
      </c>
      <c r="D10" s="6" t="s">
        <v>176</v>
      </c>
      <c r="E10" s="7" t="s">
        <v>177</v>
      </c>
      <c r="F10" s="6" t="s">
        <v>76</v>
      </c>
    </row>
    <row r="12" customFormat="false" ht="17.15" hidden="false" customHeight="false" outlineLevel="0" collapsed="false">
      <c r="A12" s="11" t="s">
        <v>93</v>
      </c>
    </row>
    <row r="13" customFormat="false" ht="32.8" hidden="false" customHeight="false" outlineLevel="0" collapsed="false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</row>
    <row r="14" customFormat="false" ht="15" hidden="false" customHeight="false" outlineLevel="0" collapsed="false">
      <c r="A14" s="4" t="s">
        <v>178</v>
      </c>
      <c r="B14" s="4" t="s">
        <v>179</v>
      </c>
      <c r="C14" s="5" t="s">
        <v>180</v>
      </c>
      <c r="D14" s="12" t="s">
        <v>104</v>
      </c>
      <c r="E14" s="5" t="s">
        <v>181</v>
      </c>
      <c r="F14" s="13"/>
      <c r="G14" s="4" t="str">
        <f aca="false">IF(F14="","待测",IF(TEXT(F14,"@")="0","✅ 通过","❌ 不一致"))</f>
        <v>待测</v>
      </c>
    </row>
    <row r="15" customFormat="false" ht="15" hidden="false" customHeight="false" outlineLevel="0" collapsed="false">
      <c r="A15" s="4" t="s">
        <v>182</v>
      </c>
      <c r="B15" s="4" t="s">
        <v>183</v>
      </c>
      <c r="C15" s="5" t="s">
        <v>184</v>
      </c>
      <c r="D15" s="12" t="s">
        <v>104</v>
      </c>
      <c r="E15" s="4" t="s">
        <v>185</v>
      </c>
      <c r="F15" s="13"/>
      <c r="G15" s="4" t="str">
        <f aca="false">IF(F15="","待测",IF(TEXT(F15,"@")="403或404","✅ 通过","❌ 不一致"))</f>
        <v>待测</v>
      </c>
    </row>
    <row r="16" customFormat="false" ht="29.85" hidden="false" customHeight="false" outlineLevel="0" collapsed="false">
      <c r="A16" s="4" t="s">
        <v>186</v>
      </c>
      <c r="B16" s="4" t="s">
        <v>187</v>
      </c>
      <c r="C16" s="5" t="s">
        <v>188</v>
      </c>
      <c r="D16" s="12" t="s">
        <v>104</v>
      </c>
      <c r="E16" s="4" t="s">
        <v>189</v>
      </c>
      <c r="F16" s="13"/>
      <c r="G16" s="4" t="str">
        <f aca="false">IF(F16="","待测",IF(TEXT(F16,"@")="客服问答助手","✅ 通过","❌ 不一致"))</f>
        <v>待测</v>
      </c>
    </row>
    <row r="17" customFormat="false" ht="15" hidden="false" customHeight="false" outlineLevel="0" collapsed="false">
      <c r="A17" s="4" t="s">
        <v>190</v>
      </c>
      <c r="B17" s="4" t="s">
        <v>191</v>
      </c>
      <c r="C17" s="5" t="s">
        <v>192</v>
      </c>
      <c r="D17" s="12" t="s">
        <v>104</v>
      </c>
      <c r="E17" s="4" t="s">
        <v>193</v>
      </c>
      <c r="F17" s="13"/>
      <c r="G17" s="4" t="str">
        <f aca="false">IF(F17="","待测",IF(TEXT(F17,"@")="404","✅ 通过","❌ 不一致"))</f>
        <v>待测</v>
      </c>
    </row>
    <row r="19" customFormat="false" ht="14.15" hidden="false" customHeight="false" outlineLevel="0" collapsed="false">
      <c r="A19" s="14" t="s">
        <v>118</v>
      </c>
      <c r="B19" s="14"/>
      <c r="C19" s="14"/>
      <c r="D19" s="14"/>
      <c r="E19" s="14"/>
      <c r="F19" s="14"/>
      <c r="G19" s="14"/>
    </row>
  </sheetData>
  <mergeCells count="1">
    <mergeCell ref="A19:G19"/>
  </mergeCells>
  <dataValidations count="1">
    <dataValidation allowBlank="true" errorStyle="stop" operator="between" showDropDown="false" showErrorMessage="false" showInputMessage="false" sqref="D14:D17" type="list">
      <formula1>"待测,通过,不通过"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21.6" hidden="false" customHeight="false" outlineLevel="0" collapsed="false">
      <c r="A1" s="10" t="s">
        <v>194</v>
      </c>
    </row>
    <row r="2" customFormat="false" ht="15" hidden="false" customHeight="false" outlineLevel="0" collapsed="false">
      <c r="A2" s="2" t="s">
        <v>195</v>
      </c>
    </row>
    <row r="4" customFormat="false" ht="15" hidden="false" customHeight="false" outlineLevel="0" collapsed="false">
      <c r="A4" s="11" t="s">
        <v>65</v>
      </c>
    </row>
    <row r="5" customFormat="false" ht="17.15" hidden="false" customHeight="fals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</row>
    <row r="6" customFormat="false" ht="29.85" hidden="false" customHeight="false" outlineLevel="0" collapsed="false">
      <c r="A6" s="6" t="n">
        <v>1</v>
      </c>
      <c r="B6" s="6" t="s">
        <v>35</v>
      </c>
      <c r="C6" s="6" t="s">
        <v>196</v>
      </c>
      <c r="D6" s="7" t="s">
        <v>197</v>
      </c>
      <c r="E6" s="7" t="s">
        <v>198</v>
      </c>
      <c r="F6" s="7" t="s">
        <v>199</v>
      </c>
    </row>
    <row r="7" customFormat="false" ht="15" hidden="false" customHeight="false" outlineLevel="0" collapsed="false">
      <c r="A7" s="4" t="n">
        <v>2</v>
      </c>
      <c r="B7" s="4" t="s">
        <v>35</v>
      </c>
      <c r="C7" s="4" t="s">
        <v>200</v>
      </c>
      <c r="D7" s="5" t="s">
        <v>201</v>
      </c>
      <c r="E7" s="5" t="s">
        <v>202</v>
      </c>
      <c r="F7" s="4" t="s">
        <v>76</v>
      </c>
    </row>
    <row r="8" customFormat="false" ht="15" hidden="false" customHeight="false" outlineLevel="0" collapsed="false">
      <c r="A8" s="6" t="n">
        <v>3</v>
      </c>
      <c r="B8" s="6" t="s">
        <v>35</v>
      </c>
      <c r="C8" s="6" t="s">
        <v>200</v>
      </c>
      <c r="D8" s="7" t="s">
        <v>203</v>
      </c>
      <c r="E8" s="7" t="s">
        <v>204</v>
      </c>
      <c r="F8" s="6" t="s">
        <v>76</v>
      </c>
    </row>
    <row r="9" customFormat="false" ht="15" hidden="false" customHeight="false" outlineLevel="0" collapsed="false">
      <c r="A9" s="4" t="n">
        <v>4</v>
      </c>
      <c r="B9" s="5" t="s">
        <v>205</v>
      </c>
      <c r="C9" s="5" t="s">
        <v>206</v>
      </c>
      <c r="D9" s="5" t="s">
        <v>207</v>
      </c>
      <c r="E9" s="5" t="s">
        <v>208</v>
      </c>
      <c r="F9" s="5" t="s">
        <v>209</v>
      </c>
    </row>
    <row r="10" customFormat="false" ht="15" hidden="false" customHeight="false" outlineLevel="0" collapsed="false">
      <c r="A10" s="6" t="n">
        <v>5</v>
      </c>
      <c r="B10" s="6" t="s">
        <v>35</v>
      </c>
      <c r="C10" s="6" t="s">
        <v>200</v>
      </c>
      <c r="D10" s="7" t="s">
        <v>201</v>
      </c>
      <c r="E10" s="7" t="s">
        <v>210</v>
      </c>
      <c r="F10" s="6" t="s">
        <v>76</v>
      </c>
    </row>
    <row r="11" customFormat="false" ht="15" hidden="false" customHeight="false" outlineLevel="0" collapsed="false">
      <c r="A11" s="4" t="n">
        <v>6</v>
      </c>
      <c r="B11" s="4" t="s">
        <v>35</v>
      </c>
      <c r="C11" s="4" t="s">
        <v>200</v>
      </c>
      <c r="D11" s="5" t="s">
        <v>211</v>
      </c>
      <c r="E11" s="5" t="s">
        <v>212</v>
      </c>
      <c r="F11" s="4" t="s">
        <v>76</v>
      </c>
    </row>
    <row r="13" customFormat="false" ht="17.15" hidden="false" customHeight="false" outlineLevel="0" collapsed="false">
      <c r="A13" s="11" t="s">
        <v>93</v>
      </c>
    </row>
    <row r="14" customFormat="false" ht="32.8" hidden="false" customHeight="false" outlineLevel="0" collapsed="false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</row>
    <row r="15" customFormat="false" ht="29.85" hidden="false" customHeight="false" outlineLevel="0" collapsed="false">
      <c r="A15" s="4" t="s">
        <v>213</v>
      </c>
      <c r="B15" s="5" t="s">
        <v>214</v>
      </c>
      <c r="C15" s="5" t="s">
        <v>215</v>
      </c>
      <c r="D15" s="12" t="s">
        <v>104</v>
      </c>
      <c r="E15" s="5" t="s">
        <v>216</v>
      </c>
      <c r="F15" s="13"/>
      <c r="G15" s="4" t="str">
        <f aca="false">IF(F15="","待测",IF(TEXT(F15,"@")="草稿","✅ 通过","❌ 不一致"))</f>
        <v>待测</v>
      </c>
    </row>
    <row r="16" customFormat="false" ht="15" hidden="false" customHeight="false" outlineLevel="0" collapsed="false">
      <c r="A16" s="4" t="s">
        <v>217</v>
      </c>
      <c r="B16" s="5" t="s">
        <v>218</v>
      </c>
      <c r="C16" s="5" t="s">
        <v>219</v>
      </c>
      <c r="D16" s="12" t="s">
        <v>104</v>
      </c>
      <c r="E16" s="5" t="s">
        <v>220</v>
      </c>
      <c r="F16" s="13"/>
      <c r="G16" s="4" t="str">
        <f aca="false">IF(F16="","待测",IF(TEXT(F16,"@")="名称不能为空","✅ 通过","❌ 不一致"))</f>
        <v>待测</v>
      </c>
    </row>
    <row r="17" customFormat="false" ht="15" hidden="false" customHeight="false" outlineLevel="0" collapsed="false">
      <c r="A17" s="4" t="s">
        <v>221</v>
      </c>
      <c r="B17" s="5" t="s">
        <v>222</v>
      </c>
      <c r="C17" s="5" t="s">
        <v>223</v>
      </c>
      <c r="D17" s="12" t="s">
        <v>104</v>
      </c>
      <c r="E17" s="5" t="s">
        <v>224</v>
      </c>
      <c r="F17" s="13"/>
      <c r="G17" s="4" t="str">
        <f aca="false">IF(F17="","待测",IF(TEXT(F17,"@")="名称过长","✅ 通过","❌ 不一致"))</f>
        <v>待测</v>
      </c>
    </row>
    <row r="18" customFormat="false" ht="15" hidden="false" customHeight="false" outlineLevel="0" collapsed="false">
      <c r="A18" s="4" t="s">
        <v>225</v>
      </c>
      <c r="B18" s="5" t="s">
        <v>226</v>
      </c>
      <c r="C18" s="5" t="s">
        <v>227</v>
      </c>
      <c r="D18" s="12" t="s">
        <v>104</v>
      </c>
      <c r="E18" s="5" t="s">
        <v>228</v>
      </c>
      <c r="F18" s="13"/>
      <c r="G18" s="4" t="str">
        <f aca="false">IF(F18="","待测",IF(TEXT(F18,"@")="已发布 / 2","✅ 通过","❌ 不一致"))</f>
        <v>待测</v>
      </c>
    </row>
    <row r="19" customFormat="false" ht="29.85" hidden="false" customHeight="false" outlineLevel="0" collapsed="false">
      <c r="A19" s="4" t="s">
        <v>229</v>
      </c>
      <c r="B19" s="4" t="s">
        <v>230</v>
      </c>
      <c r="C19" s="5" t="s">
        <v>231</v>
      </c>
      <c r="D19" s="12" t="s">
        <v>104</v>
      </c>
      <c r="E19" s="4" t="s">
        <v>232</v>
      </c>
      <c r="F19" s="13"/>
      <c r="G19" s="4" t="str">
        <f aca="false">IF(F19="","待测",IF(TEXT(F19,"@")="409或422","✅ 通过","❌ 不一致"))</f>
        <v>待测</v>
      </c>
    </row>
    <row r="20" customFormat="false" ht="15" hidden="false" customHeight="false" outlineLevel="0" collapsed="false">
      <c r="A20" s="4" t="s">
        <v>233</v>
      </c>
      <c r="B20" s="5" t="s">
        <v>234</v>
      </c>
      <c r="C20" s="5" t="s">
        <v>235</v>
      </c>
      <c r="D20" s="12" t="s">
        <v>104</v>
      </c>
      <c r="E20" s="5" t="s">
        <v>236</v>
      </c>
      <c r="F20" s="13"/>
      <c r="G20" s="4" t="str">
        <f aca="false">IF(F20="","待测",IF(TEXT(F20,"@")="0","✅ 通过","❌ 不一致"))</f>
        <v>待测</v>
      </c>
    </row>
    <row r="22" customFormat="false" ht="14.15" hidden="false" customHeight="false" outlineLevel="0" collapsed="false">
      <c r="A22" s="14" t="s">
        <v>118</v>
      </c>
      <c r="B22" s="14"/>
      <c r="C22" s="14"/>
      <c r="D22" s="14"/>
      <c r="E22" s="14"/>
      <c r="F22" s="14"/>
      <c r="G22" s="14"/>
    </row>
  </sheetData>
  <mergeCells count="1">
    <mergeCell ref="A22:G22"/>
  </mergeCells>
  <dataValidations count="1">
    <dataValidation allowBlank="true" errorStyle="stop" operator="between" showDropDown="false" showErrorMessage="false" showInputMessage="false" sqref="D15:D20" type="list">
      <formula1>"待测,通过,不通过"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0" t="s">
        <v>237</v>
      </c>
    </row>
    <row r="2" customFormat="false" ht="15" hidden="false" customHeight="false" outlineLevel="0" collapsed="false">
      <c r="A2" s="2" t="s">
        <v>238</v>
      </c>
    </row>
    <row r="4" customFormat="false" ht="15" hidden="false" customHeight="false" outlineLevel="0" collapsed="false">
      <c r="A4" s="11" t="s">
        <v>65</v>
      </c>
    </row>
    <row r="5" customFormat="false" ht="17.15" hidden="false" customHeight="fals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</row>
    <row r="6" customFormat="false" ht="29.85" hidden="false" customHeight="false" outlineLevel="0" collapsed="false">
      <c r="A6" s="6" t="n">
        <v>1</v>
      </c>
      <c r="B6" s="6" t="s">
        <v>35</v>
      </c>
      <c r="C6" s="7" t="s">
        <v>239</v>
      </c>
      <c r="D6" s="6" t="s">
        <v>240</v>
      </c>
      <c r="E6" s="7" t="s">
        <v>241</v>
      </c>
      <c r="F6" s="6" t="s">
        <v>242</v>
      </c>
    </row>
    <row r="7" customFormat="false" ht="15" hidden="false" customHeight="false" outlineLevel="0" collapsed="false">
      <c r="A7" s="4" t="n">
        <v>2</v>
      </c>
      <c r="B7" s="4" t="s">
        <v>35</v>
      </c>
      <c r="C7" s="5" t="s">
        <v>243</v>
      </c>
      <c r="D7" s="5" t="s">
        <v>244</v>
      </c>
      <c r="E7" s="5" t="s">
        <v>245</v>
      </c>
      <c r="F7" s="5" t="s">
        <v>246</v>
      </c>
    </row>
    <row r="8" customFormat="false" ht="15" hidden="false" customHeight="false" outlineLevel="0" collapsed="false">
      <c r="A8" s="6" t="n">
        <v>3</v>
      </c>
      <c r="B8" s="6" t="s">
        <v>35</v>
      </c>
      <c r="C8" s="7" t="s">
        <v>243</v>
      </c>
      <c r="D8" s="7" t="s">
        <v>247</v>
      </c>
      <c r="E8" s="7" t="s">
        <v>248</v>
      </c>
      <c r="F8" s="6" t="s">
        <v>76</v>
      </c>
    </row>
    <row r="9" customFormat="false" ht="15" hidden="false" customHeight="false" outlineLevel="0" collapsed="false">
      <c r="A9" s="4" t="n">
        <v>4</v>
      </c>
      <c r="B9" s="4" t="s">
        <v>35</v>
      </c>
      <c r="C9" s="4" t="s">
        <v>249</v>
      </c>
      <c r="D9" s="5" t="s">
        <v>250</v>
      </c>
      <c r="E9" s="5" t="s">
        <v>251</v>
      </c>
      <c r="F9" s="5" t="s">
        <v>252</v>
      </c>
    </row>
    <row r="10" customFormat="false" ht="15" hidden="false" customHeight="false" outlineLevel="0" collapsed="false">
      <c r="A10" s="6" t="n">
        <v>5</v>
      </c>
      <c r="B10" s="6" t="s">
        <v>35</v>
      </c>
      <c r="C10" s="7" t="s">
        <v>243</v>
      </c>
      <c r="D10" s="7" t="s">
        <v>253</v>
      </c>
      <c r="E10" s="7" t="s">
        <v>254</v>
      </c>
      <c r="F10" s="7" t="s">
        <v>255</v>
      </c>
    </row>
    <row r="12" customFormat="false" ht="17.15" hidden="false" customHeight="false" outlineLevel="0" collapsed="false">
      <c r="A12" s="11" t="s">
        <v>93</v>
      </c>
    </row>
    <row r="13" customFormat="false" ht="32.8" hidden="false" customHeight="false" outlineLevel="0" collapsed="false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</row>
    <row r="14" customFormat="false" ht="15" hidden="false" customHeight="false" outlineLevel="0" collapsed="false">
      <c r="A14" s="4" t="s">
        <v>256</v>
      </c>
      <c r="B14" s="5" t="s">
        <v>257</v>
      </c>
      <c r="C14" s="4" t="s">
        <v>258</v>
      </c>
      <c r="D14" s="12" t="s">
        <v>104</v>
      </c>
      <c r="E14" s="5" t="s">
        <v>259</v>
      </c>
      <c r="F14" s="13"/>
      <c r="G14" s="4" t="str">
        <f aca="false">IF(F14="","待测",IF(TEXT(F14,"@")="&gt;10","✅ 通过","❌ 不一致"))</f>
        <v>待测</v>
      </c>
    </row>
    <row r="15" customFormat="false" ht="15" hidden="false" customHeight="false" outlineLevel="0" collapsed="false">
      <c r="A15" s="4" t="s">
        <v>260</v>
      </c>
      <c r="B15" s="5" t="s">
        <v>261</v>
      </c>
      <c r="C15" s="5" t="s">
        <v>262</v>
      </c>
      <c r="D15" s="12" t="s">
        <v>104</v>
      </c>
      <c r="E15" s="5" t="s">
        <v>263</v>
      </c>
      <c r="F15" s="13"/>
      <c r="G15" s="4" t="str">
        <f aca="false">IF(F15="","待测",IF(TEXT(F15,"@")="N+1","✅ 通过","❌ 不一致"))</f>
        <v>待测</v>
      </c>
    </row>
    <row r="16" customFormat="false" ht="15" hidden="false" customHeight="false" outlineLevel="0" collapsed="false">
      <c r="A16" s="4" t="s">
        <v>264</v>
      </c>
      <c r="B16" s="4" t="s">
        <v>265</v>
      </c>
      <c r="C16" s="5" t="s">
        <v>266</v>
      </c>
      <c r="D16" s="12" t="s">
        <v>104</v>
      </c>
      <c r="E16" s="5" t="s">
        <v>267</v>
      </c>
      <c r="F16" s="13"/>
      <c r="G16" s="4" t="str">
        <f aca="false">IF(F16="","待测",IF(TEXT(F16,"@")="暂时无法回复","✅ 通过","❌ 不一致"))</f>
        <v>待测</v>
      </c>
    </row>
    <row r="17" customFormat="false" ht="29.85" hidden="false" customHeight="false" outlineLevel="0" collapsed="false">
      <c r="A17" s="4" t="s">
        <v>268</v>
      </c>
      <c r="B17" s="5" t="s">
        <v>269</v>
      </c>
      <c r="C17" s="5" t="s">
        <v>270</v>
      </c>
      <c r="D17" s="12" t="s">
        <v>104</v>
      </c>
      <c r="E17" s="5" t="s">
        <v>271</v>
      </c>
      <c r="F17" s="13"/>
      <c r="G17" s="4" t="str">
        <f aca="false">IF(F17="","待测",IF(TEXT(F17,"@")="0","✅ 通过","❌ 不一致"))</f>
        <v>待测</v>
      </c>
    </row>
    <row r="19" customFormat="false" ht="14.15" hidden="false" customHeight="false" outlineLevel="0" collapsed="false">
      <c r="A19" s="14" t="s">
        <v>118</v>
      </c>
      <c r="B19" s="14"/>
      <c r="C19" s="14"/>
      <c r="D19" s="14"/>
      <c r="E19" s="14"/>
      <c r="F19" s="14"/>
      <c r="G19" s="14"/>
    </row>
  </sheetData>
  <mergeCells count="1">
    <mergeCell ref="A19:G19"/>
  </mergeCells>
  <dataValidations count="1">
    <dataValidation allowBlank="true" errorStyle="stop" operator="between" showDropDown="false" showErrorMessage="false" showInputMessage="false" sqref="D14:D17" type="list">
      <formula1>"待测,通过,不通过"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21.6" hidden="false" customHeight="false" outlineLevel="0" collapsed="false">
      <c r="A1" s="10" t="s">
        <v>272</v>
      </c>
    </row>
    <row r="2" customFormat="false" ht="15" hidden="false" customHeight="false" outlineLevel="0" collapsed="false">
      <c r="A2" s="2" t="s">
        <v>273</v>
      </c>
    </row>
    <row r="4" customFormat="false" ht="15" hidden="false" customHeight="false" outlineLevel="0" collapsed="false">
      <c r="A4" s="11" t="s">
        <v>65</v>
      </c>
    </row>
    <row r="5" customFormat="false" ht="17.15" hidden="false" customHeight="fals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</row>
    <row r="6" customFormat="false" ht="29.85" hidden="false" customHeight="false" outlineLevel="0" collapsed="false">
      <c r="A6" s="6" t="n">
        <v>1</v>
      </c>
      <c r="B6" s="7" t="s">
        <v>274</v>
      </c>
      <c r="C6" s="7" t="s">
        <v>275</v>
      </c>
      <c r="D6" s="7" t="s">
        <v>276</v>
      </c>
      <c r="E6" s="7" t="s">
        <v>277</v>
      </c>
      <c r="F6" s="6" t="s">
        <v>278</v>
      </c>
    </row>
    <row r="7" customFormat="false" ht="15" hidden="false" customHeight="false" outlineLevel="0" collapsed="false">
      <c r="A7" s="4" t="n">
        <v>2</v>
      </c>
      <c r="B7" s="5" t="s">
        <v>274</v>
      </c>
      <c r="C7" s="5" t="s">
        <v>279</v>
      </c>
      <c r="D7" s="5" t="s">
        <v>280</v>
      </c>
      <c r="E7" s="5" t="s">
        <v>281</v>
      </c>
      <c r="F7" s="5" t="s">
        <v>282</v>
      </c>
    </row>
    <row r="8" customFormat="false" ht="15" hidden="false" customHeight="false" outlineLevel="0" collapsed="false">
      <c r="A8" s="6" t="n">
        <v>3</v>
      </c>
      <c r="B8" s="6" t="s">
        <v>35</v>
      </c>
      <c r="C8" s="6" t="s">
        <v>196</v>
      </c>
      <c r="D8" s="7" t="s">
        <v>283</v>
      </c>
      <c r="E8" s="7" t="s">
        <v>284</v>
      </c>
      <c r="F8" s="6" t="s">
        <v>76</v>
      </c>
    </row>
    <row r="9" customFormat="false" ht="29.85" hidden="false" customHeight="false" outlineLevel="0" collapsed="false">
      <c r="A9" s="4" t="n">
        <v>4</v>
      </c>
      <c r="B9" s="4" t="s">
        <v>35</v>
      </c>
      <c r="C9" s="5" t="s">
        <v>243</v>
      </c>
      <c r="D9" s="4" t="s">
        <v>285</v>
      </c>
      <c r="E9" s="5" t="s">
        <v>286</v>
      </c>
      <c r="F9" s="5" t="s">
        <v>287</v>
      </c>
    </row>
    <row r="10" customFormat="false" ht="29.85" hidden="false" customHeight="false" outlineLevel="0" collapsed="false">
      <c r="A10" s="6" t="n">
        <v>5</v>
      </c>
      <c r="B10" s="7" t="s">
        <v>274</v>
      </c>
      <c r="C10" s="7" t="s">
        <v>275</v>
      </c>
      <c r="D10" s="7" t="s">
        <v>288</v>
      </c>
      <c r="E10" s="7" t="s">
        <v>289</v>
      </c>
      <c r="F10" s="7" t="s">
        <v>290</v>
      </c>
    </row>
    <row r="12" customFormat="false" ht="17.15" hidden="false" customHeight="false" outlineLevel="0" collapsed="false">
      <c r="A12" s="11" t="s">
        <v>93</v>
      </c>
    </row>
    <row r="13" customFormat="false" ht="32.8" hidden="false" customHeight="false" outlineLevel="0" collapsed="false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</row>
    <row r="14" customFormat="false" ht="26.85" hidden="false" customHeight="false" outlineLevel="0" collapsed="false">
      <c r="A14" s="4" t="s">
        <v>291</v>
      </c>
      <c r="B14" s="5" t="s">
        <v>292</v>
      </c>
      <c r="C14" s="5" t="s">
        <v>293</v>
      </c>
      <c r="D14" s="12" t="s">
        <v>104</v>
      </c>
      <c r="E14" s="5" t="s">
        <v>294</v>
      </c>
      <c r="F14" s="13"/>
      <c r="G14" s="4" t="str">
        <f aca="false">IF(F14="","待测",IF(TEXT(F14,"@")="599;899 / price-table.pdf","✅ 通过","❌ 不一致"))</f>
        <v>待测</v>
      </c>
    </row>
    <row r="15" customFormat="false" ht="15" hidden="false" customHeight="false" outlineLevel="0" collapsed="false">
      <c r="A15" s="4" t="s">
        <v>295</v>
      </c>
      <c r="B15" s="5" t="s">
        <v>296</v>
      </c>
      <c r="C15" s="5" t="s">
        <v>297</v>
      </c>
      <c r="D15" s="12" t="s">
        <v>104</v>
      </c>
      <c r="E15" s="5" t="s">
        <v>298</v>
      </c>
      <c r="F15" s="13"/>
      <c r="G15" s="4" t="str">
        <f aca="false">IF(F15="","待测",IF(TEXT(F15,"@")="3 年 / product-manual.pdf","✅ 通过","❌ 不一致"))</f>
        <v>待测</v>
      </c>
    </row>
    <row r="16" customFormat="false" ht="15" hidden="false" customHeight="false" outlineLevel="0" collapsed="false">
      <c r="A16" s="4" t="s">
        <v>299</v>
      </c>
      <c r="B16" s="5" t="s">
        <v>300</v>
      </c>
      <c r="C16" s="5" t="s">
        <v>301</v>
      </c>
      <c r="D16" s="12" t="s">
        <v>104</v>
      </c>
      <c r="E16" s="5" t="s">
        <v>302</v>
      </c>
      <c r="F16" s="13"/>
      <c r="G16" s="4" t="str">
        <f aca="false">IF(F16="","待测",IF(TEXT(F16,"@")="8 折","✅ 通过","❌ 不一致"))</f>
        <v>待测</v>
      </c>
    </row>
    <row r="17" customFormat="false" ht="15" hidden="false" customHeight="false" outlineLevel="0" collapsed="false">
      <c r="A17" s="4" t="s">
        <v>303</v>
      </c>
      <c r="B17" s="5" t="s">
        <v>304</v>
      </c>
      <c r="C17" s="5" t="s">
        <v>305</v>
      </c>
      <c r="D17" s="12" t="s">
        <v>104</v>
      </c>
      <c r="E17" s="5" t="s">
        <v>306</v>
      </c>
      <c r="F17" s="13"/>
      <c r="G17" s="4" t="str">
        <f aca="false">IF(F17="","待测",IF(TEXT(F17,"@")="未找到 / 0","✅ 通过","❌ 不一致"))</f>
        <v>待测</v>
      </c>
    </row>
    <row r="18" customFormat="false" ht="15" hidden="false" customHeight="false" outlineLevel="0" collapsed="false">
      <c r="A18" s="4" t="s">
        <v>307</v>
      </c>
      <c r="B18" s="5" t="s">
        <v>308</v>
      </c>
      <c r="C18" s="5" t="s">
        <v>309</v>
      </c>
      <c r="D18" s="12" t="s">
        <v>104</v>
      </c>
      <c r="E18" s="5" t="s">
        <v>310</v>
      </c>
      <c r="F18" s="13"/>
      <c r="G18" s="4" t="str">
        <f aca="false">IF(F18="","待测",IF(TEXT(F18,"@")="不支持的格式","✅ 通过","❌ 不一致"))</f>
        <v>待测</v>
      </c>
    </row>
    <row r="19" customFormat="false" ht="26.85" hidden="false" customHeight="false" outlineLevel="0" collapsed="false">
      <c r="A19" s="4" t="s">
        <v>311</v>
      </c>
      <c r="B19" s="5" t="s">
        <v>312</v>
      </c>
      <c r="C19" s="5" t="s">
        <v>313</v>
      </c>
      <c r="D19" s="12" t="s">
        <v>104</v>
      </c>
      <c r="E19" s="5" t="s">
        <v>314</v>
      </c>
      <c r="F19" s="13"/>
      <c r="G19" s="4" t="str">
        <f aca="false">IF(F19="","待测",IF(TEXT(F19,"@")="≥80%","✅ 通过","❌ 不一致"))</f>
        <v>待测</v>
      </c>
    </row>
    <row r="21" customFormat="false" ht="14.15" hidden="false" customHeight="false" outlineLevel="0" collapsed="false">
      <c r="A21" s="14" t="s">
        <v>118</v>
      </c>
      <c r="B21" s="14"/>
      <c r="C21" s="14"/>
      <c r="D21" s="14"/>
      <c r="E21" s="14"/>
      <c r="F21" s="14"/>
      <c r="G21" s="14"/>
    </row>
  </sheetData>
  <mergeCells count="1">
    <mergeCell ref="A21:G21"/>
  </mergeCells>
  <dataValidations count="1">
    <dataValidation allowBlank="true" errorStyle="stop" operator="between" showDropDown="false" showErrorMessage="false" showInputMessage="false" sqref="D14:D19" type="list">
      <formula1>"待测,通过,不通过"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21.6" hidden="false" customHeight="false" outlineLevel="0" collapsed="false">
      <c r="A1" s="10" t="s">
        <v>315</v>
      </c>
    </row>
    <row r="2" customFormat="false" ht="15" hidden="false" customHeight="false" outlineLevel="0" collapsed="false">
      <c r="A2" s="2" t="s">
        <v>316</v>
      </c>
    </row>
    <row r="4" customFormat="false" ht="15" hidden="false" customHeight="false" outlineLevel="0" collapsed="false">
      <c r="A4" s="11" t="s">
        <v>65</v>
      </c>
    </row>
    <row r="5" customFormat="false" ht="17.15" hidden="false" customHeight="fals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</row>
    <row r="6" customFormat="false" ht="29.85" hidden="false" customHeight="false" outlineLevel="0" collapsed="false">
      <c r="A6" s="6" t="n">
        <v>1</v>
      </c>
      <c r="B6" s="6" t="s">
        <v>317</v>
      </c>
      <c r="C6" s="6" t="s">
        <v>318</v>
      </c>
      <c r="D6" s="7" t="s">
        <v>319</v>
      </c>
      <c r="E6" s="7" t="s">
        <v>320</v>
      </c>
      <c r="F6" s="6" t="s">
        <v>321</v>
      </c>
    </row>
    <row r="7" customFormat="false" ht="15" hidden="false" customHeight="false" outlineLevel="0" collapsed="false">
      <c r="A7" s="4" t="n">
        <v>2</v>
      </c>
      <c r="B7" s="4" t="s">
        <v>317</v>
      </c>
      <c r="C7" s="4" t="s">
        <v>322</v>
      </c>
      <c r="D7" s="5" t="s">
        <v>323</v>
      </c>
      <c r="E7" s="5" t="s">
        <v>324</v>
      </c>
      <c r="F7" s="4" t="s">
        <v>325</v>
      </c>
    </row>
    <row r="8" customFormat="false" ht="15" hidden="false" customHeight="false" outlineLevel="0" collapsed="false">
      <c r="A8" s="6" t="n">
        <v>3</v>
      </c>
      <c r="B8" s="7" t="s">
        <v>205</v>
      </c>
      <c r="C8" s="7" t="s">
        <v>206</v>
      </c>
      <c r="D8" s="7" t="s">
        <v>326</v>
      </c>
      <c r="E8" s="7" t="s">
        <v>327</v>
      </c>
      <c r="F8" s="6" t="s">
        <v>76</v>
      </c>
    </row>
    <row r="9" customFormat="false" ht="15" hidden="false" customHeight="false" outlineLevel="0" collapsed="false">
      <c r="A9" s="4" t="n">
        <v>4</v>
      </c>
      <c r="B9" s="4" t="s">
        <v>317</v>
      </c>
      <c r="C9" s="4" t="s">
        <v>322</v>
      </c>
      <c r="D9" s="5" t="s">
        <v>328</v>
      </c>
      <c r="E9" s="5" t="s">
        <v>329</v>
      </c>
      <c r="F9" s="4" t="s">
        <v>330</v>
      </c>
    </row>
    <row r="11" customFormat="false" ht="17.15" hidden="false" customHeight="false" outlineLevel="0" collapsed="false">
      <c r="A11" s="11" t="s">
        <v>93</v>
      </c>
    </row>
    <row r="12" customFormat="false" ht="32.8" hidden="false" customHeight="false" outlineLevel="0" collapsed="false">
      <c r="A12" s="3" t="s">
        <v>94</v>
      </c>
      <c r="B12" s="3" t="s">
        <v>95</v>
      </c>
      <c r="C12" s="3" t="s">
        <v>96</v>
      </c>
      <c r="D12" s="3" t="s">
        <v>97</v>
      </c>
      <c r="E12" s="3" t="s">
        <v>98</v>
      </c>
      <c r="F12" s="3" t="s">
        <v>99</v>
      </c>
      <c r="G12" s="3" t="s">
        <v>100</v>
      </c>
    </row>
    <row r="13" customFormat="false" ht="15" hidden="false" customHeight="false" outlineLevel="0" collapsed="false">
      <c r="A13" s="4" t="s">
        <v>331</v>
      </c>
      <c r="B13" s="5" t="s">
        <v>332</v>
      </c>
      <c r="C13" s="5" t="s">
        <v>333</v>
      </c>
      <c r="D13" s="12" t="s">
        <v>104</v>
      </c>
      <c r="E13" s="5" t="s">
        <v>334</v>
      </c>
      <c r="F13" s="13"/>
      <c r="G13" s="4" t="str">
        <f aca="false">IF(F13="","待测",IF(TEXT(F13,"@")="待审核","✅ 通过","❌ 不一致"))</f>
        <v>待测</v>
      </c>
    </row>
    <row r="14" customFormat="false" ht="15" hidden="false" customHeight="false" outlineLevel="0" collapsed="false">
      <c r="A14" s="4" t="s">
        <v>335</v>
      </c>
      <c r="B14" s="5" t="s">
        <v>336</v>
      </c>
      <c r="C14" s="5" t="s">
        <v>337</v>
      </c>
      <c r="D14" s="12" t="s">
        <v>104</v>
      </c>
      <c r="E14" s="5" t="s">
        <v>338</v>
      </c>
      <c r="F14" s="13"/>
      <c r="G14" s="4" t="str">
        <f aca="false">IF(F14="","待测",IF(TEXT(F14,"@")="M+1","✅ 通过","❌ 不一致"))</f>
        <v>待测</v>
      </c>
    </row>
    <row r="15" customFormat="false" ht="15" hidden="false" customHeight="false" outlineLevel="0" collapsed="false">
      <c r="A15" s="4" t="s">
        <v>339</v>
      </c>
      <c r="B15" s="5" t="s">
        <v>340</v>
      </c>
      <c r="C15" s="5" t="s">
        <v>341</v>
      </c>
      <c r="D15" s="12" t="s">
        <v>104</v>
      </c>
      <c r="E15" s="5" t="s">
        <v>338</v>
      </c>
      <c r="F15" s="13"/>
      <c r="G15" s="4" t="str">
        <f aca="false">IF(F15="","待测",IF(TEXT(F15,"@")="M+1","✅ 通过","❌ 不一致"))</f>
        <v>待测</v>
      </c>
    </row>
    <row r="16" customFormat="false" ht="15" hidden="false" customHeight="false" outlineLevel="0" collapsed="false">
      <c r="A16" s="4" t="s">
        <v>342</v>
      </c>
      <c r="B16" s="5" t="s">
        <v>343</v>
      </c>
      <c r="C16" s="5" t="s">
        <v>344</v>
      </c>
      <c r="D16" s="12" t="s">
        <v>104</v>
      </c>
      <c r="E16" s="5" t="s">
        <v>345</v>
      </c>
      <c r="F16" s="13"/>
      <c r="G16" s="4" t="str">
        <f aca="false">IF(F16="","待测",IF(TEXT(F16,"@")="1","✅ 通过","❌ 不一致"))</f>
        <v>待测</v>
      </c>
    </row>
    <row r="18" customFormat="false" ht="14.15" hidden="false" customHeight="false" outlineLevel="0" collapsed="false">
      <c r="A18" s="14" t="s">
        <v>118</v>
      </c>
      <c r="B18" s="14"/>
      <c r="C18" s="14"/>
      <c r="D18" s="14"/>
      <c r="E18" s="14"/>
      <c r="F18" s="14"/>
      <c r="G18" s="14"/>
    </row>
  </sheetData>
  <mergeCells count="1">
    <mergeCell ref="A18:G18"/>
  </mergeCells>
  <dataValidations count="1">
    <dataValidation allowBlank="true" errorStyle="stop" operator="between" showDropDown="false" showErrorMessage="false" showInputMessage="false" sqref="D13:D16" type="list">
      <formula1>"待测,通过,不通过"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0" t="s">
        <v>346</v>
      </c>
    </row>
    <row r="2" customFormat="false" ht="15" hidden="false" customHeight="false" outlineLevel="0" collapsed="false">
      <c r="A2" s="2" t="s">
        <v>347</v>
      </c>
    </row>
    <row r="4" customFormat="false" ht="15" hidden="false" customHeight="false" outlineLevel="0" collapsed="false">
      <c r="A4" s="11" t="s">
        <v>65</v>
      </c>
    </row>
    <row r="5" customFormat="false" ht="17.15" hidden="false" customHeight="fals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</row>
    <row r="6" customFormat="false" ht="15" hidden="false" customHeight="false" outlineLevel="0" collapsed="false">
      <c r="A6" s="6" t="n">
        <v>1</v>
      </c>
      <c r="B6" s="7" t="s">
        <v>51</v>
      </c>
      <c r="C6" s="7" t="s">
        <v>348</v>
      </c>
      <c r="D6" s="7" t="s">
        <v>349</v>
      </c>
      <c r="E6" s="7" t="s">
        <v>350</v>
      </c>
      <c r="F6" s="6" t="s">
        <v>76</v>
      </c>
    </row>
    <row r="7" customFormat="false" ht="29.85" hidden="false" customHeight="false" outlineLevel="0" collapsed="false">
      <c r="A7" s="4" t="n">
        <v>2</v>
      </c>
      <c r="B7" s="5" t="s">
        <v>51</v>
      </c>
      <c r="C7" s="5" t="s">
        <v>351</v>
      </c>
      <c r="D7" s="5" t="s">
        <v>352</v>
      </c>
      <c r="E7" s="5" t="s">
        <v>353</v>
      </c>
      <c r="F7" s="5" t="s">
        <v>354</v>
      </c>
    </row>
    <row r="8" customFormat="false" ht="15" hidden="false" customHeight="false" outlineLevel="0" collapsed="false">
      <c r="A8" s="6" t="n">
        <v>3</v>
      </c>
      <c r="B8" s="7" t="s">
        <v>51</v>
      </c>
      <c r="C8" s="7" t="s">
        <v>351</v>
      </c>
      <c r="D8" s="7" t="s">
        <v>355</v>
      </c>
      <c r="E8" s="7" t="s">
        <v>356</v>
      </c>
      <c r="F8" s="6" t="s">
        <v>76</v>
      </c>
    </row>
    <row r="9" customFormat="false" ht="29.85" hidden="false" customHeight="false" outlineLevel="0" collapsed="false">
      <c r="A9" s="4" t="n">
        <v>4</v>
      </c>
      <c r="B9" s="5" t="s">
        <v>51</v>
      </c>
      <c r="C9" s="5" t="s">
        <v>351</v>
      </c>
      <c r="D9" s="5" t="s">
        <v>357</v>
      </c>
      <c r="E9" s="5" t="s">
        <v>358</v>
      </c>
      <c r="F9" s="5" t="s">
        <v>359</v>
      </c>
    </row>
    <row r="11" customFormat="false" ht="17.15" hidden="false" customHeight="false" outlineLevel="0" collapsed="false">
      <c r="A11" s="11" t="s">
        <v>93</v>
      </c>
    </row>
    <row r="12" customFormat="false" ht="32.8" hidden="false" customHeight="false" outlineLevel="0" collapsed="false">
      <c r="A12" s="3" t="s">
        <v>94</v>
      </c>
      <c r="B12" s="3" t="s">
        <v>95</v>
      </c>
      <c r="C12" s="3" t="s">
        <v>96</v>
      </c>
      <c r="D12" s="3" t="s">
        <v>97</v>
      </c>
      <c r="E12" s="3" t="s">
        <v>98</v>
      </c>
      <c r="F12" s="3" t="s">
        <v>99</v>
      </c>
      <c r="G12" s="3" t="s">
        <v>100</v>
      </c>
    </row>
    <row r="13" customFormat="false" ht="15" hidden="false" customHeight="false" outlineLevel="0" collapsed="false">
      <c r="A13" s="4" t="s">
        <v>360</v>
      </c>
      <c r="B13" s="5" t="s">
        <v>361</v>
      </c>
      <c r="C13" s="5" t="s">
        <v>362</v>
      </c>
      <c r="D13" s="12" t="s">
        <v>104</v>
      </c>
      <c r="E13" s="5" t="s">
        <v>363</v>
      </c>
      <c r="F13" s="13"/>
      <c r="G13" s="4" t="str">
        <f aca="false">IF(F13="","待测",IF(TEXT(F13,"@")="3","✅ 通过","❌ 不一致"))</f>
        <v>待测</v>
      </c>
    </row>
    <row r="14" customFormat="false" ht="15" hidden="false" customHeight="false" outlineLevel="0" collapsed="false">
      <c r="A14" s="4" t="s">
        <v>364</v>
      </c>
      <c r="B14" s="5" t="s">
        <v>365</v>
      </c>
      <c r="C14" s="5" t="s">
        <v>366</v>
      </c>
      <c r="D14" s="12" t="s">
        <v>104</v>
      </c>
      <c r="E14" s="5" t="s">
        <v>367</v>
      </c>
      <c r="F14" s="13"/>
      <c r="G14" s="4" t="str">
        <f aca="false">IF(F14="","待测",IF(TEXT(F14,"@")="缺少开始节点","✅ 通过","❌ 不一致"))</f>
        <v>待测</v>
      </c>
    </row>
    <row r="15" customFormat="false" ht="15" hidden="false" customHeight="false" outlineLevel="0" collapsed="false">
      <c r="A15" s="4" t="s">
        <v>368</v>
      </c>
      <c r="B15" s="5" t="s">
        <v>369</v>
      </c>
      <c r="C15" s="5" t="s">
        <v>370</v>
      </c>
      <c r="D15" s="12" t="s">
        <v>104</v>
      </c>
      <c r="E15" s="5" t="s">
        <v>371</v>
      </c>
      <c r="F15" s="13"/>
      <c r="G15" s="4" t="str">
        <f aca="false">IF(F15="","待测",IF(TEXT(F15,"@")="3 / AIPaddle","✅ 通过","❌ 不一致"))</f>
        <v>待测</v>
      </c>
    </row>
    <row r="16" customFormat="false" ht="15" hidden="false" customHeight="false" outlineLevel="0" collapsed="false">
      <c r="A16" s="4" t="s">
        <v>372</v>
      </c>
      <c r="B16" s="5" t="s">
        <v>373</v>
      </c>
      <c r="C16" s="5" t="s">
        <v>223</v>
      </c>
      <c r="D16" s="12" t="s">
        <v>104</v>
      </c>
      <c r="E16" s="5" t="s">
        <v>374</v>
      </c>
      <c r="F16" s="13"/>
      <c r="G16" s="4" t="str">
        <f aca="false">IF(F16="","待测",IF(TEXT(F16,"@")="不允许循环连接","✅ 通过","❌ 不一致"))</f>
        <v>待测</v>
      </c>
    </row>
    <row r="18" customFormat="false" ht="14.15" hidden="false" customHeight="false" outlineLevel="0" collapsed="false">
      <c r="A18" s="14" t="s">
        <v>118</v>
      </c>
      <c r="B18" s="14"/>
      <c r="C18" s="14"/>
      <c r="D18" s="14"/>
      <c r="E18" s="14"/>
      <c r="F18" s="14"/>
      <c r="G18" s="14"/>
    </row>
  </sheetData>
  <mergeCells count="1">
    <mergeCell ref="A18:G18"/>
  </mergeCells>
  <dataValidations count="1">
    <dataValidation allowBlank="true" errorStyle="stop" operator="between" showDropDown="false" showErrorMessage="false" showInputMessage="false" sqref="D13:D16" type="list">
      <formula1>"待测,通过,不通过"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3"/>
  </cols>
  <sheetData>
    <row r="1" customFormat="false" ht="21.6" hidden="false" customHeight="false" outlineLevel="0" collapsed="false">
      <c r="A1" s="10" t="s">
        <v>375</v>
      </c>
    </row>
    <row r="2" customFormat="false" ht="15" hidden="false" customHeight="false" outlineLevel="0" collapsed="false">
      <c r="A2" s="2" t="s">
        <v>376</v>
      </c>
    </row>
    <row r="4" customFormat="false" ht="15" hidden="false" customHeight="false" outlineLevel="0" collapsed="false">
      <c r="A4" s="11" t="s">
        <v>65</v>
      </c>
    </row>
    <row r="5" customFormat="false" ht="17.15" hidden="false" customHeight="fals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</row>
    <row r="6" customFormat="false" ht="29.85" hidden="false" customHeight="false" outlineLevel="0" collapsed="false">
      <c r="A6" s="6" t="n">
        <v>1</v>
      </c>
      <c r="B6" s="7" t="s">
        <v>205</v>
      </c>
      <c r="C6" s="7" t="s">
        <v>377</v>
      </c>
      <c r="D6" s="7" t="s">
        <v>378</v>
      </c>
      <c r="E6" s="7" t="s">
        <v>379</v>
      </c>
      <c r="F6" s="6" t="s">
        <v>380</v>
      </c>
    </row>
    <row r="7" customFormat="false" ht="29.85" hidden="false" customHeight="false" outlineLevel="0" collapsed="false">
      <c r="A7" s="4" t="n">
        <v>2</v>
      </c>
      <c r="B7" s="5" t="s">
        <v>85</v>
      </c>
      <c r="C7" s="5" t="s">
        <v>381</v>
      </c>
      <c r="D7" s="5" t="s">
        <v>382</v>
      </c>
      <c r="E7" s="5" t="s">
        <v>383</v>
      </c>
      <c r="F7" s="5" t="s">
        <v>384</v>
      </c>
    </row>
    <row r="8" customFormat="false" ht="15" hidden="false" customHeight="false" outlineLevel="0" collapsed="false">
      <c r="A8" s="6" t="n">
        <v>3</v>
      </c>
      <c r="B8" s="7" t="s">
        <v>85</v>
      </c>
      <c r="C8" s="7" t="s">
        <v>385</v>
      </c>
      <c r="D8" s="7" t="s">
        <v>386</v>
      </c>
      <c r="E8" s="7" t="s">
        <v>387</v>
      </c>
      <c r="F8" s="6" t="s">
        <v>388</v>
      </c>
    </row>
    <row r="10" customFormat="false" ht="17.15" hidden="false" customHeight="false" outlineLevel="0" collapsed="false">
      <c r="A10" s="11" t="s">
        <v>93</v>
      </c>
    </row>
    <row r="11" customFormat="false" ht="32.8" hidden="false" customHeight="false" outlineLevel="0" collapsed="false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99</v>
      </c>
      <c r="G11" s="3" t="s">
        <v>100</v>
      </c>
    </row>
    <row r="12" customFormat="false" ht="29.85" hidden="false" customHeight="false" outlineLevel="0" collapsed="false">
      <c r="A12" s="4" t="s">
        <v>389</v>
      </c>
      <c r="B12" s="5" t="s">
        <v>390</v>
      </c>
      <c r="C12" s="5" t="s">
        <v>391</v>
      </c>
      <c r="D12" s="12" t="s">
        <v>104</v>
      </c>
      <c r="E12" s="5" t="s">
        <v>392</v>
      </c>
      <c r="F12" s="13"/>
      <c r="G12" s="4" t="str">
        <f aca="false">IF(F12="","待测",IF(TEXT(F12,"@")="1","✅ 通过","❌ 不一致"))</f>
        <v>待测</v>
      </c>
    </row>
    <row r="13" customFormat="false" ht="29.85" hidden="false" customHeight="false" outlineLevel="0" collapsed="false">
      <c r="A13" s="4" t="s">
        <v>393</v>
      </c>
      <c r="B13" s="5" t="s">
        <v>394</v>
      </c>
      <c r="C13" s="5" t="s">
        <v>395</v>
      </c>
      <c r="D13" s="12" t="s">
        <v>104</v>
      </c>
      <c r="E13" s="5" t="s">
        <v>396</v>
      </c>
      <c r="F13" s="13"/>
      <c r="G13" s="4" t="str">
        <f aca="false">IF(F13="","待测",IF(TEXT(F13,"@")="1000000","✅ 通过","❌ 不一致"))</f>
        <v>待测</v>
      </c>
    </row>
    <row r="14" customFormat="false" ht="29.85" hidden="false" customHeight="false" outlineLevel="0" collapsed="false">
      <c r="A14" s="4" t="s">
        <v>397</v>
      </c>
      <c r="B14" s="5" t="s">
        <v>398</v>
      </c>
      <c r="C14" s="5" t="s">
        <v>399</v>
      </c>
      <c r="D14" s="12" t="s">
        <v>104</v>
      </c>
      <c r="E14" s="5" t="s">
        <v>400</v>
      </c>
      <c r="F14" s="13"/>
      <c r="G14" s="4" t="str">
        <f aca="false">IF(F14="","待测",IF(TEXT(F14,"@")="编码已存在","✅ 通过","❌ 不一致"))</f>
        <v>待测</v>
      </c>
    </row>
    <row r="15" customFormat="false" ht="15" hidden="false" customHeight="false" outlineLevel="0" collapsed="false">
      <c r="A15" s="4" t="s">
        <v>401</v>
      </c>
      <c r="B15" s="5" t="s">
        <v>402</v>
      </c>
      <c r="C15" s="5" t="s">
        <v>403</v>
      </c>
      <c r="D15" s="12" t="s">
        <v>104</v>
      </c>
      <c r="E15" s="5" t="s">
        <v>404</v>
      </c>
      <c r="F15" s="13"/>
      <c r="G15" s="4" t="str">
        <f aca="false">IF(F15="","待测",IF(TEXT(F15,"@")="拒绝","✅ 通过","❌ 不一致"))</f>
        <v>待测</v>
      </c>
    </row>
    <row r="17" customFormat="false" ht="14.15" hidden="false" customHeight="false" outlineLevel="0" collapsed="false">
      <c r="A17" s="14" t="s">
        <v>118</v>
      </c>
      <c r="B17" s="14"/>
      <c r="C17" s="14"/>
      <c r="D17" s="14"/>
      <c r="E17" s="14"/>
      <c r="F17" s="14"/>
      <c r="G17" s="14"/>
    </row>
  </sheetData>
  <mergeCells count="1">
    <mergeCell ref="A17:G17"/>
  </mergeCells>
  <dataValidations count="1">
    <dataValidation allowBlank="true" errorStyle="stop" operator="between" showDropDown="false" showErrorMessage="false" showInputMessage="false" sqref="D12:D15" type="list">
      <formula1>"待测,通过,不通过"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2026-07-18T10:36:52Z</dcterms:created>
  <dc:creator>openpyxl</dc:creator>
  <dc:description/>
  <dc:language>en-US</dc:language>
  <cp:lastModifiedBy/>
  <dcterms:modified xsi:type="dcterms:W3CDTF">2026-07-18T10:36:52Z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