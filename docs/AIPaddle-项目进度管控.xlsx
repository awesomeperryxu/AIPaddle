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仪表盘" sheetId="1" state="visible" r:id="rId1"/>
    <sheet xmlns:r="http://schemas.openxmlformats.org/officeDocument/2006/relationships" name="任务清单" sheetId="2" state="visible" r:id="rId2"/>
    <sheet xmlns:r="http://schemas.openxmlformats.org/officeDocument/2006/relationships" name="里程碑关口" sheetId="3" state="visible" r:id="rId3"/>
    <sheet xmlns:r="http://schemas.openxmlformats.org/officeDocument/2006/relationships" name="批次与阶段说明" sheetId="4" state="visible" r:id="rId4"/>
    <sheet xmlns:r="http://schemas.openxmlformats.org/officeDocument/2006/relationships" name="三天全量冲刺" sheetId="5" state="visible" r:id="rId5"/>
    <sheet xmlns:r="http://schemas.openxmlformats.org/officeDocument/2006/relationships" name="决策日志" sheetId="6" state="visible" r:id="rId6"/>
  </sheets>
  <definedNames>
    <definedName name="_xlnm._FilterDatabase" localSheetId="1" hidden="1">'任务清单'!$A$1:$Q$62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4"/>
    </font>
    <font>
      <name val="Noto Sans CJK SC"/>
      <family val="2"/>
      <b val="1"/>
      <color rgb="FF1F3864"/>
      <sz val="14"/>
    </font>
    <font>
      <name val="Noto Sans CJK SC"/>
      <family val="2"/>
      <i val="1"/>
      <color rgb="FF808080"/>
      <sz val="9"/>
    </font>
    <font>
      <name val="Arial"/>
      <charset val="1"/>
      <family val="0"/>
      <i val="1"/>
      <color rgb="FF808080"/>
      <sz val="9"/>
    </font>
    <font>
      <name val="Noto Sans CJK SC"/>
      <family val="2"/>
      <b val="1"/>
      <color rgb="FF1F3864"/>
      <sz val="11"/>
    </font>
    <font>
      <name val="Noto Sans CJK SC"/>
      <family val="2"/>
      <sz val="10"/>
    </font>
    <font>
      <name val="Arial"/>
      <charset val="1"/>
      <family val="0"/>
      <b val="1"/>
      <sz val="10"/>
    </font>
    <font>
      <name val="Noto Sans CJK SC"/>
      <family val="2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C00000"/>
      <sz val="10"/>
    </font>
    <font>
      <name val="Noto Sans CJK SC"/>
      <family val="2"/>
      <b val="1"/>
      <color rgb="FFC00000"/>
      <sz val="10"/>
    </font>
    <font>
      <name val="Arial"/>
      <charset val="1"/>
      <family val="0"/>
      <b val="1"/>
      <color rgb="FF1F3864"/>
      <sz val="11"/>
    </font>
  </fonts>
  <fills count="8">
    <fill>
      <patternFill/>
    </fill>
    <fill>
      <patternFill patternType="gray125"/>
    </fill>
    <fill>
      <patternFill patternType="solid">
        <fgColor rgb="FFD6E4F0"/>
        <bgColor rgb="FFE2EFDA"/>
      </patternFill>
    </fill>
    <fill>
      <patternFill patternType="solid">
        <fgColor rgb="FF2F5597"/>
        <bgColor rgb="FF1F3864"/>
      </patternFill>
    </fill>
    <fill>
      <patternFill patternType="solid">
        <fgColor rgb="FFE2EFDA"/>
        <bgColor rgb="FFEDEDED"/>
      </patternFill>
    </fill>
    <fill>
      <patternFill patternType="solid">
        <fgColor rgb="FFFFF2CC"/>
        <bgColor rgb="FFEDEDED"/>
      </patternFill>
    </fill>
    <fill>
      <patternFill patternType="solid">
        <fgColor rgb="FFF2F6FB"/>
        <bgColor rgb="FFEDEDED"/>
      </patternFill>
    </fill>
    <fill>
      <patternFill patternType="solid">
        <fgColor rgb="FFEDEDED"/>
        <bgColor rgb="FFF2F6FB"/>
      </patternFill>
    </fill>
  </fills>
  <borders count="6">
    <border>
      <left/>
      <right/>
      <top/>
      <bottom/>
      <diagonal/>
    </border>
    <border>
      <left style="thin">
        <color rgb="FFB0B7C3"/>
      </left>
      <right style="thin">
        <color rgb="FFB0B7C3"/>
      </right>
      <top style="thin">
        <color rgb="FFB0B7C3"/>
      </top>
      <bottom style="thin">
        <color rgb="FFB0B7C3"/>
      </bottom>
      <diagonal/>
    </border>
    <border>
      <left/>
      <right/>
      <top style="thin">
        <color rgb="FFB0B7C3"/>
      </top>
      <bottom/>
      <diagonal/>
    </border>
    <border>
      <left/>
      <right style="thin">
        <color rgb="FFB0B7C3"/>
      </right>
      <top style="thin">
        <color rgb="FFB0B7C3"/>
      </top>
      <bottom/>
      <diagonal/>
    </border>
    <border>
      <left/>
      <right/>
      <top style="thin">
        <color rgb="FFB0B7C3"/>
      </top>
      <bottom style="thin">
        <color rgb="FFB0B7C3"/>
      </bottom>
      <diagonal/>
    </border>
    <border>
      <left/>
      <right style="thin">
        <color rgb="FFB0B7C3"/>
      </right>
      <top style="thin">
        <color rgb="FFB0B7C3"/>
      </top>
      <bottom style="thin">
        <color rgb="FFB0B7C3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2" borderId="0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0" fontId="11" fillId="3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2" fillId="4" borderId="1" applyAlignment="1" pivotButton="0" quotePrefix="0" xfId="0">
      <alignment horizontal="general" vertical="top" wrapText="1"/>
    </xf>
    <xf numFmtId="0" fontId="9" fillId="4" borderId="1" applyAlignment="1" pivotButton="0" quotePrefix="0" xfId="0">
      <alignment horizontal="general" vertical="top" wrapText="1"/>
    </xf>
    <xf numFmtId="0" fontId="12" fillId="5" borderId="1" applyAlignment="1" pivotButton="0" quotePrefix="0" xfId="0">
      <alignment horizontal="general" vertical="top" wrapText="1"/>
    </xf>
    <xf numFmtId="0" fontId="9" fillId="5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general" vertical="top" wrapText="1"/>
    </xf>
    <xf numFmtId="0" fontId="15" fillId="5" borderId="1" applyAlignment="1" pivotButton="0" quotePrefix="0" xfId="0">
      <alignment horizontal="general" vertical="top" wrapText="1"/>
    </xf>
    <xf numFmtId="0" fontId="12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top" wrapText="1"/>
    </xf>
    <xf numFmtId="0" fontId="12" fillId="6" borderId="1" applyAlignment="1" pivotButton="0" quotePrefix="0" xfId="0">
      <alignment horizontal="general" vertical="top" wrapText="1"/>
    </xf>
    <xf numFmtId="0" fontId="9" fillId="6" borderId="1" applyAlignment="1" pivotButton="0" quotePrefix="0" xfId="0">
      <alignment horizontal="general" vertical="top" wrapText="1"/>
    </xf>
    <xf numFmtId="0" fontId="14" fillId="0" borderId="1" applyAlignment="1" pivotButton="0" quotePrefix="0" xfId="0">
      <alignment horizontal="general" vertical="top" wrapText="1"/>
    </xf>
    <xf numFmtId="0" fontId="15" fillId="0" borderId="1" applyAlignment="1" pivotButton="0" quotePrefix="0" xfId="0">
      <alignment horizontal="general" vertical="top" wrapText="1"/>
    </xf>
    <xf numFmtId="0" fontId="14" fillId="6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2" fillId="7" borderId="1" applyAlignment="1" pivotButton="0" quotePrefix="0" xfId="0">
      <alignment horizontal="general" vertical="top" wrapText="1"/>
    </xf>
    <xf numFmtId="0" fontId="9" fillId="7" borderId="1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2" borderId="0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0" fontId="11" fillId="3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general" vertical="bottom"/>
    </xf>
    <xf numFmtId="0" fontId="0" fillId="0" borderId="4" pivotButton="0" quotePrefix="0" xfId="0"/>
    <xf numFmtId="0" fontId="0" fillId="0" borderId="5" pivotButton="0" quotePrefix="0" xfId="0"/>
    <xf numFmtId="0" fontId="9" fillId="0" borderId="0" applyAlignment="1" pivotButton="0" quotePrefix="0" xfId="0">
      <alignment horizontal="general" vertical="bottom"/>
    </xf>
    <xf numFmtId="0" fontId="12" fillId="4" borderId="1" applyAlignment="1" pivotButton="0" quotePrefix="0" xfId="0">
      <alignment horizontal="general" vertical="top" wrapText="1"/>
    </xf>
    <xf numFmtId="0" fontId="9" fillId="4" borderId="1" applyAlignment="1" pivotButton="0" quotePrefix="0" xfId="0">
      <alignment horizontal="general" vertical="top" wrapText="1"/>
    </xf>
    <xf numFmtId="0" fontId="12" fillId="5" borderId="1" applyAlignment="1" pivotButton="0" quotePrefix="0" xfId="0">
      <alignment horizontal="general" vertical="top" wrapText="1"/>
    </xf>
    <xf numFmtId="0" fontId="9" fillId="5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general" vertical="top" wrapText="1"/>
    </xf>
    <xf numFmtId="0" fontId="15" fillId="5" borderId="1" applyAlignment="1" pivotButton="0" quotePrefix="0" xfId="0">
      <alignment horizontal="general" vertical="top" wrapText="1"/>
    </xf>
    <xf numFmtId="0" fontId="12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top" wrapText="1"/>
    </xf>
    <xf numFmtId="0" fontId="12" fillId="6" borderId="1" applyAlignment="1" pivotButton="0" quotePrefix="0" xfId="0">
      <alignment horizontal="general" vertical="top" wrapText="1"/>
    </xf>
    <xf numFmtId="0" fontId="9" fillId="6" borderId="1" applyAlignment="1" pivotButton="0" quotePrefix="0" xfId="0">
      <alignment horizontal="general" vertical="top" wrapText="1"/>
    </xf>
    <xf numFmtId="0" fontId="14" fillId="0" borderId="1" applyAlignment="1" pivotButton="0" quotePrefix="0" xfId="0">
      <alignment horizontal="general" vertical="top" wrapText="1"/>
    </xf>
    <xf numFmtId="0" fontId="15" fillId="0" borderId="1" applyAlignment="1" pivotButton="0" quotePrefix="0" xfId="0">
      <alignment horizontal="general" vertical="top" wrapText="1"/>
    </xf>
    <xf numFmtId="0" fontId="14" fillId="6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2" fillId="7" borderId="1" applyAlignment="1" pivotButton="0" quotePrefix="0" xfId="0">
      <alignment horizontal="general" vertical="top" wrapText="1"/>
    </xf>
    <xf numFmtId="0" fontId="9" fillId="7" borderId="1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 patternType="solid">
          <fgColor rgb="FF2F5597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2F6FB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0B7C3"/>
      <rgbColor rgb="FF808080"/>
      <rgbColor rgb="FF9999FF"/>
      <rgbColor rgb="FF993366"/>
      <rgbColor rgb="FFFFF2CC"/>
      <rgbColor rgb="FFF2F6FB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F5597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3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27" min="1" max="1"/>
    <col width="12" customWidth="1" style="27" min="2" max="6"/>
  </cols>
  <sheetData>
    <row r="1" ht="21.6" customHeight="1" s="28">
      <c r="A1" s="29" t="inlineStr">
        <is>
          <t>AIPaddle 项目进度仪表盘</t>
        </is>
      </c>
    </row>
    <row r="2" ht="15" customHeight="1" s="28">
      <c r="A2" s="30" t="inlineStr">
        <is>
          <t>数据日期：2026-07-19　|　固定路径：docs/AIPaddle-项目进度管控.xlsx（每次询问进度自动刷新覆盖）</t>
        </is>
      </c>
    </row>
    <row r="4" ht="15" customHeight="1" s="28">
      <c r="A4" s="31" t="inlineStr">
        <is>
          <t>一、整体进度</t>
        </is>
      </c>
      <c r="D4" s="31" t="inlineStr">
        <is>
          <t>二、按执行批次</t>
        </is>
      </c>
    </row>
    <row r="5" ht="15" customHeight="1" s="28">
      <c r="A5" s="32" t="inlineStr">
        <is>
          <t>总任务数</t>
        </is>
      </c>
      <c r="B5" s="33">
        <f>COUNTA(任务清单!A:A)-1</f>
        <v/>
      </c>
      <c r="D5" s="34" t="inlineStr">
        <is>
          <t>批次</t>
        </is>
      </c>
      <c r="E5" s="34" t="inlineStr">
        <is>
          <t>任务数</t>
        </is>
      </c>
      <c r="F5" s="34" t="inlineStr">
        <is>
          <t>已完成</t>
        </is>
      </c>
      <c r="G5" s="34" t="inlineStr">
        <is>
          <t>进行中</t>
        </is>
      </c>
      <c r="H5" s="34" t="inlineStr">
        <is>
          <t>完成率</t>
        </is>
      </c>
    </row>
    <row r="6" ht="15" customHeight="1" s="28">
      <c r="A6" s="32" t="inlineStr">
        <is>
          <t>已完成</t>
        </is>
      </c>
      <c r="B6" s="33">
        <f>COUNTIF(任务清单!H:H,"已完成")</f>
        <v/>
      </c>
      <c r="D6" s="32" t="inlineStr">
        <is>
          <t>批次0</t>
        </is>
      </c>
      <c r="E6" s="32">
        <f>COUNTIF(任务清单!B:B,"批次0")</f>
        <v/>
      </c>
      <c r="F6" s="32">
        <f>COUNTIFS(任务清单!B:B,"批次0",任务清单!H:H,"已完成")</f>
        <v/>
      </c>
      <c r="G6" s="32">
        <f>COUNTIFS(任务清单!B:B,"批次0",任务清单!H:H,"进行中")</f>
        <v/>
      </c>
      <c r="H6" s="32">
        <f>IF(E6=0,"-",TEXT(F6/E6,"0%"))</f>
        <v/>
      </c>
    </row>
    <row r="7" ht="15" customHeight="1" s="28">
      <c r="A7" s="32" t="inlineStr">
        <is>
          <t>进行中</t>
        </is>
      </c>
      <c r="B7" s="33">
        <f>COUNTIF(任务清单!H:H,"进行中")</f>
        <v/>
      </c>
      <c r="D7" s="32" t="inlineStr">
        <is>
          <t>批次1</t>
        </is>
      </c>
      <c r="E7" s="32">
        <f>COUNTIF(任务清单!B:B,"批次1")</f>
        <v/>
      </c>
      <c r="F7" s="32">
        <f>COUNTIFS(任务清单!B:B,"批次1",任务清单!H:H,"已完成")</f>
        <v/>
      </c>
      <c r="G7" s="32">
        <f>COUNTIFS(任务清单!B:B,"批次1",任务清单!H:H,"进行中")</f>
        <v/>
      </c>
      <c r="H7" s="32">
        <f>IF(E7=0,"-",TEXT(F7/E7,"0%"))</f>
        <v/>
      </c>
    </row>
    <row r="8" ht="15" customHeight="1" s="28">
      <c r="A8" s="32" t="inlineStr">
        <is>
          <t>未开始</t>
        </is>
      </c>
      <c r="B8" s="33">
        <f>COUNTIF(任务清单!H:H,"未开始")</f>
        <v/>
      </c>
      <c r="D8" s="32" t="inlineStr">
        <is>
          <t>批次2</t>
        </is>
      </c>
      <c r="E8" s="32">
        <f>COUNTIF(任务清单!B:B,"批次2")</f>
        <v/>
      </c>
      <c r="F8" s="32">
        <f>COUNTIFS(任务清单!B:B,"批次2",任务清单!H:H,"已完成")</f>
        <v/>
      </c>
      <c r="G8" s="32">
        <f>COUNTIFS(任务清单!B:B,"批次2",任务清单!H:H,"进行中")</f>
        <v/>
      </c>
      <c r="H8" s="32">
        <f>IF(E8=0,"-",TEXT(F8/E8,"0%"))</f>
        <v/>
      </c>
    </row>
    <row r="9" ht="15" customHeight="1" s="28">
      <c r="A9" s="32" t="inlineStr">
        <is>
          <t>暂缓</t>
        </is>
      </c>
      <c r="B9" s="33">
        <f>COUNTIF(任务清单!H:H,"暂缓")</f>
        <v/>
      </c>
      <c r="D9" s="32" t="inlineStr">
        <is>
          <t>批次3</t>
        </is>
      </c>
      <c r="E9" s="32">
        <f>COUNTIF(任务清单!B:B,"批次3")</f>
        <v/>
      </c>
      <c r="F9" s="32">
        <f>COUNTIFS(任务清单!B:B,"批次3",任务清单!H:H,"已完成")</f>
        <v/>
      </c>
      <c r="G9" s="32">
        <f>COUNTIFS(任务清单!B:B,"批次3",任务清单!H:H,"进行中")</f>
        <v/>
      </c>
      <c r="H9" s="32">
        <f>IF(E9=0,"-",TEXT(F9/E9,"0%"))</f>
        <v/>
      </c>
    </row>
    <row r="10" ht="15" customHeight="1" s="28">
      <c r="A10" s="32" t="inlineStr">
        <is>
          <t>完成率</t>
        </is>
      </c>
      <c r="B10" s="33">
        <f>TEXT(B6/B5,"0.0%")</f>
        <v/>
      </c>
      <c r="D10" s="32" t="inlineStr">
        <is>
          <t>批次4</t>
        </is>
      </c>
      <c r="E10" s="32">
        <f>COUNTIF(任务清单!B:B,"批次4")</f>
        <v/>
      </c>
      <c r="F10" s="32">
        <f>COUNTIFS(任务清单!B:B,"批次4",任务清单!H:H,"已完成")</f>
        <v/>
      </c>
      <c r="G10" s="32">
        <f>COUNTIFS(任务清单!B:B,"批次4",任务清单!H:H,"进行中")</f>
        <v/>
      </c>
      <c r="H10" s="32">
        <f>IF(E10=0,"-",TEXT(F10/E10,"0%"))</f>
        <v/>
      </c>
    </row>
    <row r="11" ht="15" customHeight="1" s="28">
      <c r="D11" s="32" t="inlineStr">
        <is>
          <t>批次5</t>
        </is>
      </c>
      <c r="E11" s="32">
        <f>COUNTIF(任务清单!B:B,"批次5")</f>
        <v/>
      </c>
      <c r="F11" s="32">
        <f>COUNTIFS(任务清单!B:B,"批次5",任务清单!H:H,"已完成")</f>
        <v/>
      </c>
      <c r="G11" s="32">
        <f>COUNTIFS(任务清单!B:B,"批次5",任务清单!H:H,"进行中")</f>
        <v/>
      </c>
      <c r="H11" s="32">
        <f>IF(E11=0,"-",TEXT(F11/E11,"0%"))</f>
        <v/>
      </c>
    </row>
    <row r="12" ht="15" customHeight="1" s="28">
      <c r="D12" s="32" t="inlineStr">
        <is>
          <t>批次6</t>
        </is>
      </c>
      <c r="E12" s="32">
        <f>COUNTIF(任务清单!B:B,"批次6")</f>
        <v/>
      </c>
      <c r="F12" s="32">
        <f>COUNTIFS(任务清单!B:B,"批次6",任务清单!H:H,"已完成")</f>
        <v/>
      </c>
      <c r="G12" s="32">
        <f>COUNTIFS(任务清单!B:B,"批次6",任务清单!H:H,"进行中")</f>
        <v/>
      </c>
      <c r="H12" s="32">
        <f>IF(E12=0,"-",TEXT(F12/E12,"0%"))</f>
        <v/>
      </c>
    </row>
    <row r="13" ht="15" customHeight="1" s="28">
      <c r="D13" s="32" t="inlineStr">
        <is>
          <t>批次7</t>
        </is>
      </c>
      <c r="E13" s="32">
        <f>COUNTIF(任务清单!B:B,"批次7")</f>
        <v/>
      </c>
      <c r="F13" s="32">
        <f>COUNTIFS(任务清单!B:B,"批次7",任务清单!H:H,"已完成")</f>
        <v/>
      </c>
      <c r="G13" s="32">
        <f>COUNTIFS(任务清单!B:B,"批次7",任务清单!H:H,"进行中")</f>
        <v/>
      </c>
      <c r="H13" s="32">
        <f>IF(E13=0,"-",TEXT(F13/E13,"0%"))</f>
        <v/>
      </c>
    </row>
    <row r="15" ht="15" customHeight="1" s="28">
      <c r="A15" s="31" t="inlineStr">
        <is>
          <t>三、测试体系概览</t>
        </is>
      </c>
    </row>
    <row r="16" ht="15" customHeight="1" s="28">
      <c r="A16" s="32" t="inlineStr">
        <is>
          <t>测试用例已编写（含骨架）</t>
        </is>
      </c>
      <c r="B16" s="35">
        <f>COUNTIF(任务清单!M:M,"已完成")+COUNTIF(任务清单!M:M,"部分")&amp;" 项任务有用例"</f>
        <v/>
      </c>
      <c r="C16" s="36" t="n"/>
      <c r="D16" s="37" t="n"/>
    </row>
    <row r="17" ht="15" customHeight="1" s="28">
      <c r="A17" s="32" t="inlineStr">
        <is>
          <t>测试已执行完成</t>
        </is>
      </c>
      <c r="B17" s="35">
        <f>COUNTIF(任务清单!N:N,"已完成")&amp;" 项"</f>
        <v/>
      </c>
      <c r="C17" s="36" t="n"/>
      <c r="D17" s="37" t="n"/>
    </row>
    <row r="18" ht="15" customHeight="1" s="28">
      <c r="A18" s="32" t="inlineStr">
        <is>
          <t>测试未执行</t>
        </is>
      </c>
      <c r="B18" s="35">
        <f>COUNTIF(任务清单!N:N,"未开始")+COUNTIF(任务清单!N:N,"未执行")&amp;" 项"</f>
        <v/>
      </c>
      <c r="C18" s="36" t="n"/>
      <c r="D18" s="37" t="n"/>
    </row>
    <row r="19" ht="15" customHeight="1" s="28">
      <c r="A19" s="32" t="inlineStr">
        <is>
          <t>用例设计库</t>
        </is>
      </c>
      <c r="B19" s="35" t="inlineStr">
        <is>
          <t>98 条（docs/test-cases/）</t>
        </is>
      </c>
      <c r="C19" s="36" t="n"/>
      <c r="D19" s="37" t="n"/>
    </row>
    <row r="20" ht="15" customHeight="1" s="28">
      <c r="A20" s="35" t="inlineStr">
        <is>
          <t>E2E 可执行用例</t>
        </is>
      </c>
      <c r="B20" s="32" t="inlineStr">
        <is>
          <t>冒烟 7 条可跑 + S0-S5 阶段门控 41 条</t>
        </is>
      </c>
      <c r="C20" s="36" t="n"/>
      <c r="D20" s="37" t="n"/>
    </row>
    <row r="22" ht="15" customHeight="1" s="28">
      <c r="A22" s="31" t="inlineStr">
        <is>
          <t>四、当前焦点与风险</t>
        </is>
      </c>
    </row>
    <row r="23" ht="15" customHeight="1" s="28">
      <c r="A23" s="31" t="inlineStr">
        <is>
          <t>五、字段含义（四列各答一个问题，互不重叠）</t>
        </is>
      </c>
    </row>
    <row r="24" ht="15" customHeight="1" s="28">
      <c r="A24" s="38" t="inlineStr">
        <is>
          <t>优先级 = 有多重要：P0 失败即阻塞/安全红线，P1 核心功能，P2 优化——与先后顺序无关</t>
        </is>
      </c>
    </row>
    <row r="25" ht="15" customHeight="1" s="28">
      <c r="A25" s="38" t="inlineStr">
        <is>
          <t>所属阶段 = 属于哪个功能领域：工程基础/产品定义/架构设计/地基/Agent/知识库/Skill·MCP/工作流/成员租户/用户验证/平台化——是归属不是顺序</t>
        </is>
      </c>
    </row>
    <row r="26" ht="15" customHeight="1" s="28">
      <c r="A26" s="38" t="inlineStr">
        <is>
          <t>执行批次 = 排第几波做：批次0(历史基线)→批次7 按依赖排序，批次间设质量关口——纯时序，与阶段不完全重合</t>
        </is>
      </c>
    </row>
    <row r="27" ht="15" customHeight="1" s="28">
      <c r="A27" s="38" t="inlineStr">
        <is>
          <t>状态 = 现在做到哪：未开始/进行中/已完成/暂缓——唯一表达进展的列</t>
        </is>
      </c>
    </row>
    <row r="29" ht="15" customHeight="1" s="28">
      <c r="A29" s="38" t="inlineStr">
        <is>
          <t>▶ 三天全量冲刺（用户强制，详见「三天全量冲刺」表）：全部开发任务压入 D1-D3，5 条 CLI 并行道；红字=串行硬约束；每晚测试日结包；唯一硬闸=D2 早隔离专项</t>
        </is>
      </c>
    </row>
    <row r="30" ht="15" customHeight="1" s="28">
      <c r="A30" s="38" t="inlineStr">
        <is>
          <t>⚠ 阻塞风险：Supabase 未注册 → 切片0 全部无法开工；Playwright 未安装 → 冒烟无法自动化</t>
        </is>
      </c>
    </row>
    <row r="31" ht="15" customHeight="1" s="28">
      <c r="A31" s="38" t="inlineStr">
        <is>
          <t>⚠ 质量红线：S0-ISO 租户隔离 5 条任何一条失败即全线停工修复</t>
        </is>
      </c>
    </row>
    <row r="32" ht="15" customHeight="1" s="28">
      <c r="A32" s="38" t="inlineStr">
        <is>
          <t>✅ 架构决策已闭环：ADR-001~006 全部拍板（数据模型/LLM/MCP 治理/Copilot/办公文件）；PRD 已迭代至 v1.09</t>
        </is>
      </c>
    </row>
    <row r="33" ht="15" customHeight="1" s="28">
      <c r="A33" s="38" t="inlineStr">
        <is>
          <t>ℹ 遗留决策：嵌入模型选型（切片2 前）；员工 Coding Plan 选型（试用后定）</t>
        </is>
      </c>
    </row>
  </sheetData>
  <mergeCells count="14">
    <mergeCell ref="A26:H26"/>
    <mergeCell ref="B19:D19"/>
    <mergeCell ref="A30:H30"/>
    <mergeCell ref="A29:H29"/>
    <mergeCell ref="A25:H25"/>
    <mergeCell ref="A24:H24"/>
    <mergeCell ref="B17:D17"/>
    <mergeCell ref="B18:D18"/>
    <mergeCell ref="A33:H33"/>
    <mergeCell ref="A32:H32"/>
    <mergeCell ref="A27:H27"/>
    <mergeCell ref="A31:H31"/>
    <mergeCell ref="B16:D16"/>
    <mergeCell ref="B20:D2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Q6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6" ySplit="1" topLeftCell="G2" activePane="bottomRight" state="frozen"/>
      <selection pane="topLeft" activeCell="A1" activeCellId="0" sqref="A1"/>
      <selection pane="topRight" activeCell="G1" activeCellId="0" sqref="G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27" min="1" max="1"/>
    <col width="10" customWidth="1" style="27" min="2" max="4"/>
    <col width="11" customWidth="1" style="27" min="5" max="5"/>
    <col width="40" customWidth="1" style="27" min="6" max="6"/>
    <col width="7" customWidth="1" style="27" min="7" max="7"/>
    <col width="9" customWidth="1" style="27" min="8" max="8"/>
    <col width="14" customWidth="1" style="27" min="9" max="9"/>
    <col width="10" customWidth="1" style="27" min="10" max="10"/>
    <col width="24" customWidth="1" style="27" min="11" max="11"/>
    <col width="10" customWidth="1" style="27" min="12" max="14"/>
    <col width="18" customWidth="1" style="27" min="15" max="15"/>
    <col width="16" customWidth="1" style="27" min="16" max="16"/>
    <col width="30" customWidth="1" style="27" min="17" max="17"/>
  </cols>
  <sheetData>
    <row r="1" ht="29.85" customHeight="1" s="28">
      <c r="A1" s="34" t="inlineStr">
        <is>
          <t>任务编号</t>
        </is>
      </c>
      <c r="B1" s="34" t="inlineStr">
        <is>
          <t>执行批次</t>
        </is>
      </c>
      <c r="C1" s="34" t="inlineStr">
        <is>
          <t>计划日</t>
        </is>
      </c>
      <c r="D1" s="34" t="inlineStr">
        <is>
          <t>所属阶段</t>
        </is>
      </c>
      <c r="E1" s="34" t="inlineStr">
        <is>
          <t>任务类别</t>
        </is>
      </c>
      <c r="F1" s="34" t="inlineStr">
        <is>
          <t>任务内容</t>
        </is>
      </c>
      <c r="G1" s="34" t="inlineStr">
        <is>
          <t>优先级</t>
        </is>
      </c>
      <c r="H1" s="34" t="inlineStr">
        <is>
          <t>状态</t>
        </is>
      </c>
      <c r="I1" s="34" t="inlineStr">
        <is>
          <t>执行主体</t>
        </is>
      </c>
      <c r="J1" s="34" t="inlineStr">
        <is>
          <t>依赖任务</t>
        </is>
      </c>
      <c r="K1" s="34" t="inlineStr">
        <is>
          <t>验收标准（检测）</t>
        </is>
      </c>
      <c r="L1" s="34" t="inlineStr">
        <is>
          <t>对应测试类型</t>
        </is>
      </c>
      <c r="M1" s="34" t="inlineStr">
        <is>
          <t>测试用例状态</t>
        </is>
      </c>
      <c r="N1" s="34" t="inlineStr">
        <is>
          <t>测试执行状态</t>
        </is>
      </c>
      <c r="O1" s="34" t="inlineStr">
        <is>
          <t>关联用例/文档</t>
        </is>
      </c>
      <c r="P1" s="34" t="inlineStr">
        <is>
          <t>备注/风险</t>
        </is>
      </c>
      <c r="Q1" s="34" t="inlineStr">
        <is>
          <t>并行约束(红字=硬约束)</t>
        </is>
      </c>
    </row>
    <row r="2" ht="15" customHeight="1" s="28">
      <c r="A2" s="39" t="inlineStr">
        <is>
          <t>0.1</t>
        </is>
      </c>
      <c r="B2" s="40" t="inlineStr">
        <is>
          <t>批次0</t>
        </is>
      </c>
      <c r="C2" s="39" t="inlineStr">
        <is>
          <t>—</t>
        </is>
      </c>
      <c r="D2" s="40" t="inlineStr">
        <is>
          <t>工程基础</t>
        </is>
      </c>
      <c r="E2" s="40" t="inlineStr">
        <is>
          <t>工程基础</t>
        </is>
      </c>
      <c r="F2" s="39" t="inlineStr">
        <is>
          <t>Git 仓库与 GitHub 托管</t>
        </is>
      </c>
      <c r="G2" s="39" t="inlineStr">
        <is>
          <t>P0</t>
        </is>
      </c>
      <c r="H2" s="40" t="inlineStr">
        <is>
          <t>已完成</t>
        </is>
      </c>
      <c r="I2" s="40" t="inlineStr">
        <is>
          <t>用户</t>
        </is>
      </c>
      <c r="J2" s="39" t="inlineStr">
        <is>
          <t>—</t>
        </is>
      </c>
      <c r="K2" s="40" t="inlineStr">
        <is>
          <t>仓库可访问</t>
        </is>
      </c>
      <c r="L2" s="39" t="inlineStr">
        <is>
          <t>—</t>
        </is>
      </c>
      <c r="M2" s="39" t="inlineStr">
        <is>
          <t>—</t>
        </is>
      </c>
      <c r="N2" s="39" t="inlineStr">
        <is>
          <t>—</t>
        </is>
      </c>
      <c r="O2" s="39" t="inlineStr">
        <is>
          <t>—</t>
        </is>
      </c>
      <c r="P2" s="40" t="n"/>
      <c r="Q2" s="39" t="inlineStr">
        <is>
          <t>—</t>
        </is>
      </c>
    </row>
    <row r="3" ht="15" customHeight="1" s="28">
      <c r="A3" s="39" t="inlineStr">
        <is>
          <t>0.2</t>
        </is>
      </c>
      <c r="B3" s="40" t="inlineStr">
        <is>
          <t>批次0</t>
        </is>
      </c>
      <c r="C3" s="39" t="inlineStr">
        <is>
          <t>—</t>
        </is>
      </c>
      <c r="D3" s="40" t="inlineStr">
        <is>
          <t>工程基础</t>
        </is>
      </c>
      <c r="E3" s="40" t="inlineStr">
        <is>
          <t>工程基础</t>
        </is>
      </c>
      <c r="F3" s="39" t="inlineStr">
        <is>
          <t>Next.js 16 + TS + Tailwind4 + shadcn/ui 脚手架</t>
        </is>
      </c>
      <c r="G3" s="39" t="inlineStr">
        <is>
          <t>P0</t>
        </is>
      </c>
      <c r="H3" s="40" t="inlineStr">
        <is>
          <t>已完成</t>
        </is>
      </c>
      <c r="I3" s="40" t="inlineStr">
        <is>
          <t>用户</t>
        </is>
      </c>
      <c r="J3" s="39" t="inlineStr">
        <is>
          <t>—</t>
        </is>
      </c>
      <c r="K3" s="39" t="inlineStr">
        <is>
          <t>pnpm dev 可跑</t>
        </is>
      </c>
      <c r="L3" s="39" t="inlineStr">
        <is>
          <t>L1</t>
        </is>
      </c>
      <c r="M3" s="39" t="inlineStr">
        <is>
          <t>—</t>
        </is>
      </c>
      <c r="N3" s="39" t="inlineStr">
        <is>
          <t>—</t>
        </is>
      </c>
      <c r="O3" s="39" t="inlineStr">
        <is>
          <t>—</t>
        </is>
      </c>
      <c r="P3" s="39" t="inlineStr">
        <is>
          <t>v0 原型基础</t>
        </is>
      </c>
      <c r="Q3" s="39" t="inlineStr">
        <is>
          <t>—</t>
        </is>
      </c>
    </row>
    <row r="4" ht="29.85" customHeight="1" s="28">
      <c r="A4" s="39" t="inlineStr">
        <is>
          <t>0.3</t>
        </is>
      </c>
      <c r="B4" s="40" t="inlineStr">
        <is>
          <t>批次0</t>
        </is>
      </c>
      <c r="C4" s="39" t="inlineStr">
        <is>
          <t>—</t>
        </is>
      </c>
      <c r="D4" s="40" t="inlineStr">
        <is>
          <t>工程基础</t>
        </is>
      </c>
      <c r="E4" s="40" t="inlineStr">
        <is>
          <t>工程基础</t>
        </is>
      </c>
      <c r="F4" s="40" t="inlineStr">
        <is>
          <t>质量检查脚本 pnpm check（typecheck+lint+build）</t>
        </is>
      </c>
      <c r="G4" s="39" t="inlineStr">
        <is>
          <t>P1</t>
        </is>
      </c>
      <c r="H4" s="40" t="inlineStr">
        <is>
          <t>已完成</t>
        </is>
      </c>
      <c r="I4" s="40" t="inlineStr">
        <is>
          <t>用户</t>
        </is>
      </c>
      <c r="J4" s="39" t="inlineStr">
        <is>
          <t>0.2</t>
        </is>
      </c>
      <c r="K4" s="40" t="inlineStr">
        <is>
          <t>本地执行全绿</t>
        </is>
      </c>
      <c r="L4" s="39" t="inlineStr">
        <is>
          <t>L1</t>
        </is>
      </c>
      <c r="M4" s="39" t="inlineStr">
        <is>
          <t>—</t>
        </is>
      </c>
      <c r="N4" s="39" t="inlineStr">
        <is>
          <t>—</t>
        </is>
      </c>
      <c r="O4" s="39" t="inlineStr">
        <is>
          <t>—</t>
        </is>
      </c>
      <c r="P4" s="40" t="n"/>
      <c r="Q4" s="39" t="inlineStr">
        <is>
          <t>—</t>
        </is>
      </c>
    </row>
    <row r="5" ht="15" customHeight="1" s="28">
      <c r="A5" s="39" t="inlineStr">
        <is>
          <t>1.1</t>
        </is>
      </c>
      <c r="B5" s="40" t="inlineStr">
        <is>
          <t>批次0</t>
        </is>
      </c>
      <c r="C5" s="39" t="inlineStr">
        <is>
          <t>—</t>
        </is>
      </c>
      <c r="D5" s="40" t="inlineStr">
        <is>
          <t>产品定义</t>
        </is>
      </c>
      <c r="E5" s="40" t="inlineStr">
        <is>
          <t>产品定义</t>
        </is>
      </c>
      <c r="F5" s="39" t="inlineStr">
        <is>
          <t>PRD v1.04（10 大模块）</t>
        </is>
      </c>
      <c r="G5" s="39" t="inlineStr">
        <is>
          <t>P0</t>
        </is>
      </c>
      <c r="H5" s="40" t="inlineStr">
        <is>
          <t>已完成</t>
        </is>
      </c>
      <c r="I5" s="40" t="inlineStr">
        <is>
          <t>用户</t>
        </is>
      </c>
      <c r="J5" s="39" t="inlineStr">
        <is>
          <t>—</t>
        </is>
      </c>
      <c r="K5" s="40" t="inlineStr">
        <is>
          <t>文档入库</t>
        </is>
      </c>
      <c r="L5" s="39" t="inlineStr">
        <is>
          <t>—</t>
        </is>
      </c>
      <c r="M5" s="39" t="inlineStr">
        <is>
          <t>—</t>
        </is>
      </c>
      <c r="N5" s="39" t="inlineStr">
        <is>
          <t>—</t>
        </is>
      </c>
      <c r="O5" s="39" t="inlineStr">
        <is>
          <t>PRD_Core_v1.04.md</t>
        </is>
      </c>
      <c r="P5" s="40" t="n"/>
      <c r="Q5" s="39" t="inlineStr">
        <is>
          <t>—</t>
        </is>
      </c>
    </row>
    <row r="6" ht="23.85" customHeight="1" s="28">
      <c r="A6" s="39" t="inlineStr">
        <is>
          <t>1.2</t>
        </is>
      </c>
      <c r="B6" s="40" t="inlineStr">
        <is>
          <t>批次0</t>
        </is>
      </c>
      <c r="C6" s="39" t="inlineStr">
        <is>
          <t>—</t>
        </is>
      </c>
      <c r="D6" s="40" t="inlineStr">
        <is>
          <t>产品定义</t>
        </is>
      </c>
      <c r="E6" s="40" t="inlineStr">
        <is>
          <t>产品定义</t>
        </is>
      </c>
      <c r="F6" s="39" t="inlineStr">
        <is>
          <t>UI 设计规范 v1.04</t>
        </is>
      </c>
      <c r="G6" s="39" t="inlineStr">
        <is>
          <t>P1</t>
        </is>
      </c>
      <c r="H6" s="40" t="inlineStr">
        <is>
          <t>已完成</t>
        </is>
      </c>
      <c r="I6" s="40" t="inlineStr">
        <is>
          <t>用户</t>
        </is>
      </c>
      <c r="J6" s="39" t="inlineStr">
        <is>
          <t>1.1</t>
        </is>
      </c>
      <c r="K6" s="40" t="inlineStr">
        <is>
          <t>文档入库</t>
        </is>
      </c>
      <c r="L6" s="39" t="inlineStr">
        <is>
          <t>—</t>
        </is>
      </c>
      <c r="M6" s="39" t="inlineStr">
        <is>
          <t>—</t>
        </is>
      </c>
      <c r="N6" s="39" t="inlineStr">
        <is>
          <t>—</t>
        </is>
      </c>
      <c r="O6" s="39" t="inlineStr">
        <is>
          <t>UI_Design_Spec_v1.04.md</t>
        </is>
      </c>
      <c r="P6" s="40" t="n"/>
      <c r="Q6" s="39" t="inlineStr">
        <is>
          <t>—</t>
        </is>
      </c>
    </row>
    <row r="7" ht="23.85" customHeight="1" s="28">
      <c r="A7" s="39" t="inlineStr">
        <is>
          <t>1.3</t>
        </is>
      </c>
      <c r="B7" s="40" t="inlineStr">
        <is>
          <t>批次0</t>
        </is>
      </c>
      <c r="C7" s="39" t="inlineStr">
        <is>
          <t>—</t>
        </is>
      </c>
      <c r="D7" s="40" t="inlineStr">
        <is>
          <t>产品定义</t>
        </is>
      </c>
      <c r="E7" s="40" t="inlineStr">
        <is>
          <t>产品定义</t>
        </is>
      </c>
      <c r="F7" s="40" t="inlineStr">
        <is>
          <t>实现审计（原型边界界定）</t>
        </is>
      </c>
      <c r="G7" s="39" t="inlineStr">
        <is>
          <t>P0</t>
        </is>
      </c>
      <c r="H7" s="40" t="inlineStr">
        <is>
          <t>已完成</t>
        </is>
      </c>
      <c r="I7" s="40" t="inlineStr">
        <is>
          <t>用户+AI</t>
        </is>
      </c>
      <c r="J7" s="39" t="inlineStr">
        <is>
          <t>1.1</t>
        </is>
      </c>
      <c r="K7" s="40" t="inlineStr">
        <is>
          <t>边界清晰</t>
        </is>
      </c>
      <c r="L7" s="39" t="inlineStr">
        <is>
          <t>—</t>
        </is>
      </c>
      <c r="M7" s="39" t="inlineStr">
        <is>
          <t>—</t>
        </is>
      </c>
      <c r="N7" s="39" t="inlineStr">
        <is>
          <t>—</t>
        </is>
      </c>
      <c r="O7" s="39" t="inlineStr">
        <is>
          <t>IMPLEMENTATION_AUDIT.md</t>
        </is>
      </c>
      <c r="P7" s="40" t="n"/>
      <c r="Q7" s="39" t="inlineStr">
        <is>
          <t>—</t>
        </is>
      </c>
    </row>
    <row r="8" ht="15" customHeight="1" s="28">
      <c r="A8" s="39" t="inlineStr">
        <is>
          <t>2.1</t>
        </is>
      </c>
      <c r="B8" s="40" t="inlineStr">
        <is>
          <t>批次1</t>
        </is>
      </c>
      <c r="C8" s="39" t="inlineStr">
        <is>
          <t>—</t>
        </is>
      </c>
      <c r="D8" s="40" t="inlineStr">
        <is>
          <t>架构设计</t>
        </is>
      </c>
      <c r="E8" s="40" t="inlineStr">
        <is>
          <t>架构设计</t>
        </is>
      </c>
      <c r="F8" s="40" t="inlineStr">
        <is>
          <t>后端形态选型：Next.js 单体 + Supabase</t>
        </is>
      </c>
      <c r="G8" s="39" t="inlineStr">
        <is>
          <t>P0</t>
        </is>
      </c>
      <c r="H8" s="40" t="inlineStr">
        <is>
          <t>已完成</t>
        </is>
      </c>
      <c r="I8" s="40" t="inlineStr">
        <is>
          <t>用户拍板</t>
        </is>
      </c>
      <c r="J8" s="39" t="inlineStr">
        <is>
          <t>1.3</t>
        </is>
      </c>
      <c r="K8" s="39" t="inlineStr">
        <is>
          <t>ADR 拍板</t>
        </is>
      </c>
      <c r="L8" s="39" t="inlineStr">
        <is>
          <t>—</t>
        </is>
      </c>
      <c r="M8" s="39" t="inlineStr">
        <is>
          <t>—</t>
        </is>
      </c>
      <c r="N8" s="39" t="inlineStr">
        <is>
          <t>—</t>
        </is>
      </c>
      <c r="O8" s="39" t="inlineStr">
        <is>
          <t>ADR-001</t>
        </is>
      </c>
      <c r="P8" s="39" t="inlineStr">
        <is>
          <t>2026-07-18 决策</t>
        </is>
      </c>
      <c r="Q8" s="39" t="inlineStr">
        <is>
          <t>—</t>
        </is>
      </c>
    </row>
    <row r="9" ht="38.05" customHeight="1" s="28">
      <c r="A9" s="39" t="inlineStr">
        <is>
          <t>2.4</t>
        </is>
      </c>
      <c r="B9" s="40" t="inlineStr">
        <is>
          <t>批次1</t>
        </is>
      </c>
      <c r="C9" s="39" t="inlineStr">
        <is>
          <t>—</t>
        </is>
      </c>
      <c r="D9" s="40" t="inlineStr">
        <is>
          <t>架构设计</t>
        </is>
      </c>
      <c r="E9" s="40" t="inlineStr">
        <is>
          <t>架构设计</t>
        </is>
      </c>
      <c r="F9" s="40" t="inlineStr">
        <is>
          <t>数据模型 v1.0：16 张表 + ERD 确认页（6 项决策拍板）+ migration 0001</t>
        </is>
      </c>
      <c r="G9" s="39" t="inlineStr">
        <is>
          <t>P0</t>
        </is>
      </c>
      <c r="H9" s="40" t="inlineStr">
        <is>
          <t>已完成</t>
        </is>
      </c>
      <c r="I9" s="40" t="inlineStr">
        <is>
          <t>用户拍板+Claude Code</t>
        </is>
      </c>
      <c r="J9" s="39" t="inlineStr">
        <is>
          <t>2.1</t>
        </is>
      </c>
      <c r="K9" s="40" t="inlineStr">
        <is>
          <t>确认页 C1-C6 拍板，SQL 产出</t>
        </is>
      </c>
      <c r="L9" s="39" t="inlineStr">
        <is>
          <t>L3</t>
        </is>
      </c>
      <c r="M9" s="39" t="inlineStr">
        <is>
          <t>—</t>
        </is>
      </c>
      <c r="N9" s="39" t="inlineStr">
        <is>
          <t>—</t>
        </is>
      </c>
      <c r="O9" s="39" t="inlineStr">
        <is>
          <t>ERD确认页 / 0001_initial_schema.sql</t>
        </is>
      </c>
      <c r="P9" s="40" t="inlineStr">
        <is>
          <t>待应用到 Supabase</t>
        </is>
      </c>
      <c r="Q9" s="39" t="inlineStr">
        <is>
          <t>—</t>
        </is>
      </c>
    </row>
    <row r="10" ht="15" customHeight="1" s="28">
      <c r="A10" s="39" t="inlineStr">
        <is>
          <t>2.6</t>
        </is>
      </c>
      <c r="B10" s="40" t="inlineStr">
        <is>
          <t>批次1</t>
        </is>
      </c>
      <c r="C10" s="39" t="inlineStr">
        <is>
          <t>—</t>
        </is>
      </c>
      <c r="D10" s="40" t="inlineStr">
        <is>
          <t>架构设计</t>
        </is>
      </c>
      <c r="E10" s="40" t="inlineStr">
        <is>
          <t>架构设计</t>
        </is>
      </c>
      <c r="F10" s="40" t="inlineStr">
        <is>
          <t>轮子清单闭环：认证/存储/向量库/模型网关/支付</t>
        </is>
      </c>
      <c r="G10" s="39" t="inlineStr">
        <is>
          <t>P2</t>
        </is>
      </c>
      <c r="H10" s="40" t="inlineStr">
        <is>
          <t>已完成</t>
        </is>
      </c>
      <c r="I10" s="40" t="inlineStr">
        <is>
          <t>用户拍板</t>
        </is>
      </c>
      <c r="J10" s="39" t="inlineStr">
        <is>
          <t>2.1</t>
        </is>
      </c>
      <c r="K10" s="40" t="inlineStr">
        <is>
          <t>全部选型有记录</t>
        </is>
      </c>
      <c r="L10" s="39" t="inlineStr">
        <is>
          <t>—</t>
        </is>
      </c>
      <c r="M10" s="39" t="inlineStr">
        <is>
          <t>—</t>
        </is>
      </c>
      <c r="N10" s="39" t="inlineStr">
        <is>
          <t>—</t>
        </is>
      </c>
      <c r="O10" s="39" t="inlineStr">
        <is>
          <t>ADR-001/003</t>
        </is>
      </c>
      <c r="P10" s="40" t="n"/>
      <c r="Q10" s="39" t="inlineStr">
        <is>
          <t>—</t>
        </is>
      </c>
    </row>
    <row r="11" ht="29.85" customHeight="1" s="28">
      <c r="A11" s="39" t="inlineStr">
        <is>
          <t>2.7</t>
        </is>
      </c>
      <c r="B11" s="40" t="inlineStr">
        <is>
          <t>批次1</t>
        </is>
      </c>
      <c r="C11" s="39" t="inlineStr">
        <is>
          <t>—</t>
        </is>
      </c>
      <c r="D11" s="40" t="inlineStr">
        <is>
          <t>架构设计</t>
        </is>
      </c>
      <c r="E11" s="40" t="inlineStr">
        <is>
          <t>架构设计</t>
        </is>
      </c>
      <c r="F11" s="39" t="inlineStr">
        <is>
          <t>LLM 接入：Kimi 2.5（Moonshot），Agent 级可调配</t>
        </is>
      </c>
      <c r="G11" s="39" t="inlineStr">
        <is>
          <t>P1</t>
        </is>
      </c>
      <c r="H11" s="40" t="inlineStr">
        <is>
          <t>已完成</t>
        </is>
      </c>
      <c r="I11" s="40" t="inlineStr">
        <is>
          <t>用户拍板</t>
        </is>
      </c>
      <c r="J11" s="39" t="inlineStr">
        <is>
          <t>2.6</t>
        </is>
      </c>
      <c r="K11" s="39" t="inlineStr">
        <is>
          <t>ADR-003 拍板</t>
        </is>
      </c>
      <c r="L11" s="39" t="inlineStr">
        <is>
          <t>—</t>
        </is>
      </c>
      <c r="M11" s="39" t="inlineStr">
        <is>
          <t>—</t>
        </is>
      </c>
      <c r="N11" s="39" t="inlineStr">
        <is>
          <t>—</t>
        </is>
      </c>
      <c r="O11" s="39" t="inlineStr">
        <is>
          <t>ADR-003</t>
        </is>
      </c>
      <c r="P11" s="40" t="inlineStr">
        <is>
          <t>遗留：嵌入模型切片2前锁定</t>
        </is>
      </c>
      <c r="Q11" s="39" t="inlineStr">
        <is>
          <t>—</t>
        </is>
      </c>
    </row>
    <row r="12" ht="44" customHeight="1" s="28">
      <c r="A12" s="39" t="inlineStr">
        <is>
          <t>2.8</t>
        </is>
      </c>
      <c r="B12" s="40" t="inlineStr">
        <is>
          <t>批次1</t>
        </is>
      </c>
      <c r="C12" s="39" t="inlineStr">
        <is>
          <t>—</t>
        </is>
      </c>
      <c r="D12" s="40" t="inlineStr">
        <is>
          <t>架构设计</t>
        </is>
      </c>
      <c r="E12" s="40" t="inlineStr">
        <is>
          <t>架构设计</t>
        </is>
      </c>
      <c r="F12" s="39" t="inlineStr">
        <is>
          <t>Vibe Coding→AI Copilot 范围收缩：无沙盒/四道防线/交互协议（意图跳转+澄清面板+Dify 硬约束）</t>
        </is>
      </c>
      <c r="G12" s="39" t="inlineStr">
        <is>
          <t>P0</t>
        </is>
      </c>
      <c r="H12" s="40" t="inlineStr">
        <is>
          <t>已完成</t>
        </is>
      </c>
      <c r="I12" s="40" t="inlineStr">
        <is>
          <t>用户拍板</t>
        </is>
      </c>
      <c r="J12" s="39" t="inlineStr">
        <is>
          <t>2.1</t>
        </is>
      </c>
      <c r="K12" s="39" t="inlineStr">
        <is>
          <t>ADR-005 + PRD 2.11</t>
        </is>
      </c>
      <c r="L12" s="39" t="inlineStr">
        <is>
          <t>—</t>
        </is>
      </c>
      <c r="M12" s="40" t="inlineStr">
        <is>
          <t>已完成</t>
        </is>
      </c>
      <c r="N12" s="39" t="inlineStr">
        <is>
          <t>—</t>
        </is>
      </c>
      <c r="O12" s="39" t="inlineStr">
        <is>
          <t>ADR-005 / PRD v1.09</t>
        </is>
      </c>
      <c r="P12" s="39" t="inlineStr">
        <is>
          <t>CP-01~10 用例就绪</t>
        </is>
      </c>
      <c r="Q12" s="39" t="inlineStr">
        <is>
          <t>—</t>
        </is>
      </c>
    </row>
    <row r="13" ht="35.05" customHeight="1" s="28">
      <c r="A13" s="39" t="inlineStr">
        <is>
          <t>M.1</t>
        </is>
      </c>
      <c r="B13" s="40" t="inlineStr">
        <is>
          <t>批次1</t>
        </is>
      </c>
      <c r="C13" s="39" t="inlineStr">
        <is>
          <t>—</t>
        </is>
      </c>
      <c r="D13" s="40" t="inlineStr">
        <is>
          <t>架构设计</t>
        </is>
      </c>
      <c r="E13" s="40" t="inlineStr">
        <is>
          <t>架构设计</t>
        </is>
      </c>
      <c r="F13" s="39" t="inlineStr">
        <is>
          <t>MCP 治理：两层结构+全量 Skill 封装+权限过滤 + migration 0002</t>
        </is>
      </c>
      <c r="G13" s="39" t="inlineStr">
        <is>
          <t>P0</t>
        </is>
      </c>
      <c r="H13" s="40" t="inlineStr">
        <is>
          <t>已完成</t>
        </is>
      </c>
      <c r="I13" s="40" t="inlineStr">
        <is>
          <t>用户拍板</t>
        </is>
      </c>
      <c r="J13" s="39" t="inlineStr">
        <is>
          <t>2.1</t>
        </is>
      </c>
      <c r="K13" s="39" t="inlineStr">
        <is>
          <t>ADR-004 + PRD v1.06</t>
        </is>
      </c>
      <c r="L13" s="39" t="inlineStr">
        <is>
          <t>—</t>
        </is>
      </c>
      <c r="M13" s="40" t="inlineStr">
        <is>
          <t>已完成</t>
        </is>
      </c>
      <c r="N13" s="39" t="inlineStr">
        <is>
          <t>—</t>
        </is>
      </c>
      <c r="O13" s="39" t="inlineStr">
        <is>
          <t>ADR-004 / 0002_mcp_servers.sql</t>
        </is>
      </c>
      <c r="P13" s="39" t="inlineStr">
        <is>
          <t>S3-08~11 用例就绪</t>
        </is>
      </c>
      <c r="Q13" s="39" t="inlineStr">
        <is>
          <t>—</t>
        </is>
      </c>
    </row>
    <row r="14" ht="29.85" customHeight="1" s="28">
      <c r="A14" s="39" t="inlineStr">
        <is>
          <t>M.2</t>
        </is>
      </c>
      <c r="B14" s="40" t="inlineStr">
        <is>
          <t>批次1</t>
        </is>
      </c>
      <c r="C14" s="39" t="inlineStr">
        <is>
          <t>—</t>
        </is>
      </c>
      <c r="D14" s="40" t="inlineStr">
        <is>
          <t>架构设计</t>
        </is>
      </c>
      <c r="E14" s="40" t="inlineStr">
        <is>
          <t>架构设计</t>
        </is>
      </c>
      <c r="F14" s="40" t="inlineStr">
        <is>
          <t>办公文件处理三通道（高优先级基础能力，含企微微盘）</t>
        </is>
      </c>
      <c r="G14" s="39" t="inlineStr">
        <is>
          <t>P0</t>
        </is>
      </c>
      <c r="H14" s="40" t="inlineStr">
        <is>
          <t>已完成</t>
        </is>
      </c>
      <c r="I14" s="40" t="inlineStr">
        <is>
          <t>用户拍板</t>
        </is>
      </c>
      <c r="J14" s="39" t="inlineStr">
        <is>
          <t>M.1</t>
        </is>
      </c>
      <c r="K14" s="39" t="inlineStr">
        <is>
          <t>ADR-006 + PRD v1.08</t>
        </is>
      </c>
      <c r="L14" s="39" t="inlineStr">
        <is>
          <t>—</t>
        </is>
      </c>
      <c r="M14" s="40" t="inlineStr">
        <is>
          <t>已完成</t>
        </is>
      </c>
      <c r="N14" s="39" t="inlineStr">
        <is>
          <t>—</t>
        </is>
      </c>
      <c r="O14" s="39" t="inlineStr">
        <is>
          <t>ADR-006</t>
        </is>
      </c>
      <c r="P14" s="39" t="inlineStr">
        <is>
          <t>DOC-01~06 用例就绪</t>
        </is>
      </c>
      <c r="Q14" s="39" t="inlineStr">
        <is>
          <t>—</t>
        </is>
      </c>
    </row>
    <row r="15" ht="15" customHeight="1" s="28">
      <c r="A15" s="39" t="inlineStr">
        <is>
          <t>0.4</t>
        </is>
      </c>
      <c r="B15" s="40" t="inlineStr">
        <is>
          <t>批次0</t>
        </is>
      </c>
      <c r="C15" s="39" t="inlineStr">
        <is>
          <t>—</t>
        </is>
      </c>
      <c r="D15" s="40" t="inlineStr">
        <is>
          <t>工程基础</t>
        </is>
      </c>
      <c r="E15" s="40" t="inlineStr">
        <is>
          <t>项目管控</t>
        </is>
      </c>
      <c r="F15" s="39" t="inlineStr">
        <is>
          <t>CLAUDE.md 主控文件入库</t>
        </is>
      </c>
      <c r="G15" s="39" t="inlineStr">
        <is>
          <t>P1</t>
        </is>
      </c>
      <c r="H15" s="40" t="inlineStr">
        <is>
          <t>已完成</t>
        </is>
      </c>
      <c r="I15" s="39" t="inlineStr">
        <is>
          <t>Claude Code</t>
        </is>
      </c>
      <c r="J15" s="39" t="inlineStr">
        <is>
          <t>—</t>
        </is>
      </c>
      <c r="K15" s="40" t="inlineStr">
        <is>
          <t>规则生效</t>
        </is>
      </c>
      <c r="L15" s="39" t="inlineStr">
        <is>
          <t>—</t>
        </is>
      </c>
      <c r="M15" s="39" t="inlineStr">
        <is>
          <t>—</t>
        </is>
      </c>
      <c r="N15" s="39" t="inlineStr">
        <is>
          <t>—</t>
        </is>
      </c>
      <c r="O15" s="39" t="inlineStr">
        <is>
          <t>CLAUDE.md</t>
        </is>
      </c>
      <c r="P15" s="40" t="inlineStr">
        <is>
          <t>含工作流 7 条</t>
        </is>
      </c>
      <c r="Q15" s="39" t="inlineStr">
        <is>
          <t>—</t>
        </is>
      </c>
    </row>
    <row r="16" ht="15" customHeight="1" s="28">
      <c r="A16" s="39" t="inlineStr">
        <is>
          <t>0.5</t>
        </is>
      </c>
      <c r="B16" s="40" t="inlineStr">
        <is>
          <t>批次0</t>
        </is>
      </c>
      <c r="C16" s="39" t="inlineStr">
        <is>
          <t>—</t>
        </is>
      </c>
      <c r="D16" s="40" t="inlineStr">
        <is>
          <t>工程基础</t>
        </is>
      </c>
      <c r="E16" s="40" t="inlineStr">
        <is>
          <t>项目管控</t>
        </is>
      </c>
      <c r="F16" s="39" t="inlineStr">
        <is>
          <t>ROADMAP.md 任务清单入库</t>
        </is>
      </c>
      <c r="G16" s="39" t="inlineStr">
        <is>
          <t>P1</t>
        </is>
      </c>
      <c r="H16" s="40" t="inlineStr">
        <is>
          <t>已完成</t>
        </is>
      </c>
      <c r="I16" s="39" t="inlineStr">
        <is>
          <t>Claude Code</t>
        </is>
      </c>
      <c r="J16" s="39" t="inlineStr">
        <is>
          <t>—</t>
        </is>
      </c>
      <c r="K16" s="40" t="inlineStr">
        <is>
          <t>状态可追踪</t>
        </is>
      </c>
      <c r="L16" s="39" t="inlineStr">
        <is>
          <t>—</t>
        </is>
      </c>
      <c r="M16" s="39" t="inlineStr">
        <is>
          <t>—</t>
        </is>
      </c>
      <c r="N16" s="39" t="inlineStr">
        <is>
          <t>—</t>
        </is>
      </c>
      <c r="O16" s="39" t="inlineStr">
        <is>
          <t>ROADMAP.md</t>
        </is>
      </c>
      <c r="P16" s="40" t="n"/>
      <c r="Q16" s="39" t="inlineStr">
        <is>
          <t>—</t>
        </is>
      </c>
    </row>
    <row r="17" ht="35.05" customHeight="1" s="28">
      <c r="A17" s="39" t="inlineStr">
        <is>
          <t>T.1</t>
        </is>
      </c>
      <c r="B17" s="40" t="inlineStr">
        <is>
          <t>批次0</t>
        </is>
      </c>
      <c r="C17" s="39" t="inlineStr">
        <is>
          <t>—</t>
        </is>
      </c>
      <c r="D17" s="40" t="inlineStr">
        <is>
          <t>工程基础</t>
        </is>
      </c>
      <c r="E17" s="40" t="inlineStr">
        <is>
          <t>测试体系</t>
        </is>
      </c>
      <c r="F17" s="40" t="inlineStr">
        <is>
          <t>测试策略 + 自动执行协议两份文档</t>
        </is>
      </c>
      <c r="G17" s="39" t="inlineStr">
        <is>
          <t>P1</t>
        </is>
      </c>
      <c r="H17" s="40" t="inlineStr">
        <is>
          <t>已完成</t>
        </is>
      </c>
      <c r="I17" s="39" t="inlineStr">
        <is>
          <t>Claude Code</t>
        </is>
      </c>
      <c r="J17" s="39" t="inlineStr">
        <is>
          <t>—</t>
        </is>
      </c>
      <c r="K17" s="40" t="inlineStr">
        <is>
          <t>文档入库</t>
        </is>
      </c>
      <c r="L17" s="40" t="inlineStr">
        <is>
          <t>全部</t>
        </is>
      </c>
      <c r="M17" s="39" t="inlineStr">
        <is>
          <t>—</t>
        </is>
      </c>
      <c r="N17" s="39" t="inlineStr">
        <is>
          <t>—</t>
        </is>
      </c>
      <c r="O17" s="39" t="inlineStr">
        <is>
          <t>TESTING.md / TESTING_WORKFLOW.md</t>
        </is>
      </c>
      <c r="P17" s="40" t="n"/>
      <c r="Q17" s="39" t="inlineStr">
        <is>
          <t>—</t>
        </is>
      </c>
    </row>
    <row r="18" ht="15" customHeight="1" s="28">
      <c r="A18" s="39" t="inlineStr">
        <is>
          <t>T.2</t>
        </is>
      </c>
      <c r="B18" s="40" t="inlineStr">
        <is>
          <t>批次0</t>
        </is>
      </c>
      <c r="C18" s="39" t="inlineStr">
        <is>
          <t>—</t>
        </is>
      </c>
      <c r="D18" s="40" t="inlineStr">
        <is>
          <t>工程基础</t>
        </is>
      </c>
      <c r="E18" s="40" t="inlineStr">
        <is>
          <t>测试体系</t>
        </is>
      </c>
      <c r="F18" s="40" t="inlineStr">
        <is>
          <t>测试用例库 98 条（映射到任务节点）</t>
        </is>
      </c>
      <c r="G18" s="39" t="inlineStr">
        <is>
          <t>P1</t>
        </is>
      </c>
      <c r="H18" s="40" t="inlineStr">
        <is>
          <t>已完成</t>
        </is>
      </c>
      <c r="I18" s="39" t="inlineStr">
        <is>
          <t>Claude Code</t>
        </is>
      </c>
      <c r="J18" s="39" t="inlineStr">
        <is>
          <t>T.1</t>
        </is>
      </c>
      <c r="K18" s="40" t="inlineStr">
        <is>
          <t>用例可挂 Issue</t>
        </is>
      </c>
      <c r="L18" s="40" t="inlineStr">
        <is>
          <t>全部</t>
        </is>
      </c>
      <c r="M18" s="40" t="inlineStr">
        <is>
          <t>已完成</t>
        </is>
      </c>
      <c r="N18" s="39" t="inlineStr">
        <is>
          <t>—</t>
        </is>
      </c>
      <c r="O18" s="39" t="inlineStr">
        <is>
          <t>docs/test-cases/</t>
        </is>
      </c>
      <c r="P18" s="40" t="n"/>
      <c r="Q18" s="39" t="inlineStr">
        <is>
          <t>—</t>
        </is>
      </c>
    </row>
    <row r="19" ht="29.85" customHeight="1" s="28">
      <c r="A19" s="39" t="inlineStr">
        <is>
          <t>T.3</t>
        </is>
      </c>
      <c r="B19" s="40" t="inlineStr">
        <is>
          <t>批次0</t>
        </is>
      </c>
      <c r="C19" s="39" t="inlineStr">
        <is>
          <t>—</t>
        </is>
      </c>
      <c r="D19" s="40" t="inlineStr">
        <is>
          <t>工程基础</t>
        </is>
      </c>
      <c r="E19" s="40" t="inlineStr">
        <is>
          <t>测试体系</t>
        </is>
      </c>
      <c r="F19" s="39" t="inlineStr">
        <is>
          <t>E2E 可执行套件（冒烟 + S0-S5 阶段门控）+ 测试数据契约</t>
        </is>
      </c>
      <c r="G19" s="39" t="inlineStr">
        <is>
          <t>P1</t>
        </is>
      </c>
      <c r="H19" s="40" t="inlineStr">
        <is>
          <t>已完成</t>
        </is>
      </c>
      <c r="I19" s="39" t="inlineStr">
        <is>
          <t>Claude Code</t>
        </is>
      </c>
      <c r="J19" s="39" t="inlineStr">
        <is>
          <t>T.2</t>
        </is>
      </c>
      <c r="K19" s="40" t="inlineStr">
        <is>
          <t>代码入库</t>
        </is>
      </c>
      <c r="L19" s="39" t="inlineStr">
        <is>
          <t>L4</t>
        </is>
      </c>
      <c r="M19" s="40" t="inlineStr">
        <is>
          <t>已完成</t>
        </is>
      </c>
      <c r="N19" s="40" t="inlineStr">
        <is>
          <t>未执行</t>
        </is>
      </c>
      <c r="O19" s="39" t="inlineStr">
        <is>
          <t>tests/e2e/</t>
        </is>
      </c>
      <c r="P19" s="40" t="inlineStr">
        <is>
          <t>待装 Playwright 首跑</t>
        </is>
      </c>
      <c r="Q19" s="39" t="inlineStr">
        <is>
          <t>—</t>
        </is>
      </c>
    </row>
    <row r="20" ht="26.85" customHeight="1" s="28">
      <c r="A20" s="41" t="inlineStr">
        <is>
          <t>0.6a</t>
        </is>
      </c>
      <c r="B20" s="42" t="inlineStr">
        <is>
          <t>批次1</t>
        </is>
      </c>
      <c r="C20" s="41" t="inlineStr">
        <is>
          <t>D1·C-5</t>
        </is>
      </c>
      <c r="D20" s="42" t="inlineStr">
        <is>
          <t>工程基础</t>
        </is>
      </c>
      <c r="E20" s="42" t="inlineStr">
        <is>
          <t>项目管控</t>
        </is>
      </c>
      <c r="F20" s="41" t="inlineStr">
        <is>
          <t>GitHub 建标签体系并把批次1-2任务批量建 Issue</t>
        </is>
      </c>
      <c r="G20" s="41" t="inlineStr">
        <is>
          <t>P1</t>
        </is>
      </c>
      <c r="H20" s="42" t="inlineStr">
        <is>
          <t>进行中</t>
        </is>
      </c>
      <c r="I20" s="42" t="inlineStr">
        <is>
          <t>用户+Claude Code</t>
        </is>
      </c>
      <c r="J20" s="41" t="inlineStr">
        <is>
          <t>T.2</t>
        </is>
      </c>
      <c r="K20" s="41" t="inlineStr">
        <is>
          <t>gh issue list 可见</t>
        </is>
      </c>
      <c r="L20" s="41" t="inlineStr">
        <is>
          <t>—</t>
        </is>
      </c>
      <c r="M20" s="41" t="inlineStr">
        <is>
          <t>—</t>
        </is>
      </c>
      <c r="N20" s="41" t="inlineStr">
        <is>
          <t>—</t>
        </is>
      </c>
      <c r="O20" s="41" t="inlineStr">
        <is>
          <t>TESTING_WORKFLOW §1</t>
        </is>
      </c>
      <c r="P20" s="42" t="inlineStr">
        <is>
          <t>模板已入库</t>
        </is>
      </c>
      <c r="Q20" s="41" t="inlineStr">
        <is>
          <t>—</t>
        </is>
      </c>
    </row>
    <row r="21" ht="29.85" customHeight="1" s="28">
      <c r="A21" s="41" t="inlineStr">
        <is>
          <t>0.6b</t>
        </is>
      </c>
      <c r="B21" s="42" t="inlineStr">
        <is>
          <t>批次1</t>
        </is>
      </c>
      <c r="C21" s="43" t="inlineStr">
        <is>
          <t>D1早·你-2</t>
        </is>
      </c>
      <c r="D21" s="42" t="inlineStr">
        <is>
          <t>工程基础</t>
        </is>
      </c>
      <c r="E21" s="42" t="inlineStr">
        <is>
          <t>项目管控</t>
        </is>
      </c>
      <c r="F21" s="42" t="inlineStr">
        <is>
          <t>首次 push：主控/测试/CI 文件入远程仓库，CI 首跑绿灯</t>
        </is>
      </c>
      <c r="G21" s="41" t="inlineStr">
        <is>
          <t>P0</t>
        </is>
      </c>
      <c r="H21" s="42" t="inlineStr">
        <is>
          <t>完成</t>
        </is>
      </c>
      <c r="I21" s="42" t="inlineStr">
        <is>
          <t>用户</t>
        </is>
      </c>
      <c r="J21" s="41" t="inlineStr">
        <is>
          <t>0.3</t>
        </is>
      </c>
      <c r="K21" s="41" t="inlineStr">
        <is>
          <t>Actions 绿灯</t>
        </is>
      </c>
      <c r="L21" s="41" t="inlineStr">
        <is>
          <t>L1</t>
        </is>
      </c>
      <c r="M21" s="41" t="inlineStr">
        <is>
          <t>—</t>
        </is>
      </c>
      <c r="N21" s="42" t="inlineStr">
        <is>
          <t>未执行</t>
        </is>
      </c>
      <c r="O21" s="41" t="inlineStr">
        <is>
          <t>ci.yml</t>
        </is>
      </c>
      <c r="P21" s="42" t="inlineStr">
        <is>
          <t>含 .github 两文件</t>
        </is>
      </c>
      <c r="Q21" s="44" t="inlineStr">
        <is>
          <t>全局前置：与 SUP 同窗口完成，先于一切</t>
        </is>
      </c>
    </row>
    <row r="22" ht="15" customHeight="1" s="28">
      <c r="A22" s="41" t="inlineStr">
        <is>
          <t>0.9a</t>
        </is>
      </c>
      <c r="B22" s="42" t="inlineStr">
        <is>
          <t>批次1</t>
        </is>
      </c>
      <c r="C22" s="41" t="inlineStr">
        <is>
          <t>D1·C-1</t>
        </is>
      </c>
      <c r="D22" s="42" t="inlineStr">
        <is>
          <t>工程基础</t>
        </is>
      </c>
      <c r="E22" s="42" t="inlineStr">
        <is>
          <t>测试基建</t>
        </is>
      </c>
      <c r="F22" s="42" t="inlineStr">
        <is>
          <t>安装 Playwright 并首跑原型冒烟 7 条</t>
        </is>
      </c>
      <c r="G22" s="41" t="inlineStr">
        <is>
          <t>P1</t>
        </is>
      </c>
      <c r="H22" s="42" t="inlineStr">
        <is>
          <t>完成</t>
        </is>
      </c>
      <c r="I22" s="42" t="inlineStr">
        <is>
          <t>用户</t>
        </is>
      </c>
      <c r="J22" s="41" t="inlineStr">
        <is>
          <t>T.3</t>
        </is>
      </c>
      <c r="K22" s="42" t="inlineStr">
        <is>
          <t>冒烟全绿/记录失败项</t>
        </is>
      </c>
      <c r="L22" s="41" t="inlineStr">
        <is>
          <t>L4</t>
        </is>
      </c>
      <c r="M22" s="42" t="inlineStr">
        <is>
          <t>已完成</t>
        </is>
      </c>
      <c r="N22" s="42" t="inlineStr">
        <is>
          <t>原型冒烟6条全绿</t>
        </is>
      </c>
      <c r="O22" s="41" t="inlineStr">
        <is>
          <t>smoke.spec.ts</t>
        </is>
      </c>
      <c r="P22" s="41" t="inlineStr">
        <is>
          <t>4 条命令见对话 | D1-C-1完成:装chromium+test:e2e/test:smoke脚本;冒烟6条全绿(P-GLB-01/02/04,P-DSH-01,P-AGT-02,P-WF-01)</t>
        </is>
      </c>
      <c r="Q22" s="41" t="inlineStr">
        <is>
          <t>—</t>
        </is>
      </c>
    </row>
    <row r="23" ht="29.85" customHeight="1" s="28">
      <c r="A23" s="45" t="inlineStr">
        <is>
          <t>0.9b</t>
        </is>
      </c>
      <c r="B23" s="46" t="inlineStr">
        <is>
          <t>批次1</t>
        </is>
      </c>
      <c r="C23" s="45" t="inlineStr">
        <is>
          <t>D1·C-2</t>
        </is>
      </c>
      <c r="D23" s="46" t="inlineStr">
        <is>
          <t>工程基础</t>
        </is>
      </c>
      <c r="E23" s="46" t="inlineStr">
        <is>
          <t>测试基建</t>
        </is>
      </c>
      <c r="F23" s="46" t="inlineStr">
        <is>
          <t>安装 Vitest + RTL，pnpm test 可用，CI 启用测试步骤</t>
        </is>
      </c>
      <c r="G23" s="45" t="inlineStr">
        <is>
          <t>P1</t>
        </is>
      </c>
      <c r="H23" s="46" t="inlineStr">
        <is>
          <t>未开始</t>
        </is>
      </c>
      <c r="I23" s="45" t="inlineStr">
        <is>
          <t>Claude Code</t>
        </is>
      </c>
      <c r="J23" s="45" t="inlineStr">
        <is>
          <t>0.9a</t>
        </is>
      </c>
      <c r="K23" s="45" t="inlineStr">
        <is>
          <t>CI 含测试且绿</t>
        </is>
      </c>
      <c r="L23" s="45" t="inlineStr">
        <is>
          <t>L2</t>
        </is>
      </c>
      <c r="M23" s="45" t="inlineStr">
        <is>
          <t>—</t>
        </is>
      </c>
      <c r="N23" s="45" t="inlineStr">
        <is>
          <t>—</t>
        </is>
      </c>
      <c r="O23" s="45" t="inlineStr">
        <is>
          <t>ci.yml 注释段</t>
        </is>
      </c>
      <c r="P23" s="46" t="n"/>
      <c r="Q23" s="45" t="inlineStr">
        <is>
          <t>—</t>
        </is>
      </c>
    </row>
    <row r="24" ht="15" customHeight="1" s="28">
      <c r="A24" s="47" t="inlineStr">
        <is>
          <t>0.9c</t>
        </is>
      </c>
      <c r="B24" s="48" t="inlineStr">
        <is>
          <t>批次1</t>
        </is>
      </c>
      <c r="C24" s="47" t="inlineStr">
        <is>
          <t>D1·C-3</t>
        </is>
      </c>
      <c r="D24" s="48" t="inlineStr">
        <is>
          <t>工程基础</t>
        </is>
      </c>
      <c r="E24" s="48" t="inlineStr">
        <is>
          <t>测试基建</t>
        </is>
      </c>
      <c r="F24" s="47" t="inlineStr">
        <is>
          <t>GitHub 开启 main 分支保护（CI 绿灯才可合并）</t>
        </is>
      </c>
      <c r="G24" s="47" t="inlineStr">
        <is>
          <t>P1</t>
        </is>
      </c>
      <c r="H24" s="48" t="inlineStr">
        <is>
          <t>未开始</t>
        </is>
      </c>
      <c r="I24" s="48" t="inlineStr">
        <is>
          <t>用户</t>
        </is>
      </c>
      <c r="J24" s="47" t="inlineStr">
        <is>
          <t>0.6b</t>
        </is>
      </c>
      <c r="K24" s="48" t="inlineStr">
        <is>
          <t>设置生效</t>
        </is>
      </c>
      <c r="L24" s="47" t="inlineStr">
        <is>
          <t>—</t>
        </is>
      </c>
      <c r="M24" s="47" t="inlineStr">
        <is>
          <t>—</t>
        </is>
      </c>
      <c r="N24" s="47" t="inlineStr">
        <is>
          <t>—</t>
        </is>
      </c>
      <c r="O24" s="47" t="inlineStr">
        <is>
          <t>—</t>
        </is>
      </c>
      <c r="P24" s="48" t="n"/>
      <c r="Q24" s="47" t="inlineStr">
        <is>
          <t>—</t>
        </is>
      </c>
    </row>
    <row r="25" ht="29.85" customHeight="1" s="28">
      <c r="A25" s="45" t="inlineStr">
        <is>
          <t>P.1</t>
        </is>
      </c>
      <c r="B25" s="46" t="inlineStr">
        <is>
          <t>批次1</t>
        </is>
      </c>
      <c r="C25" s="45" t="inlineStr">
        <is>
          <t>D1·C-4</t>
        </is>
      </c>
      <c r="D25" s="46" t="inlineStr">
        <is>
          <t>工程基础</t>
        </is>
      </c>
      <c r="E25" s="46" t="inlineStr">
        <is>
          <t>原型验证</t>
        </is>
      </c>
      <c r="F25" s="46" t="inlineStr">
        <is>
          <t>手动执行 TC-00 原型用例 22 条，产出按钮盘点清单</t>
        </is>
      </c>
      <c r="G25" s="45" t="inlineStr">
        <is>
          <t>P1</t>
        </is>
      </c>
      <c r="H25" s="46" t="inlineStr">
        <is>
          <t>未开始</t>
        </is>
      </c>
      <c r="I25" s="46" t="inlineStr">
        <is>
          <t>用户</t>
        </is>
      </c>
      <c r="J25" s="45" t="inlineStr">
        <is>
          <t>—</t>
        </is>
      </c>
      <c r="K25" s="46" t="inlineStr">
        <is>
          <t>逐条 ✅/❌ 记录</t>
        </is>
      </c>
      <c r="L25" s="45" t="inlineStr">
        <is>
          <t>L4/L6</t>
        </is>
      </c>
      <c r="M25" s="46" t="inlineStr">
        <is>
          <t>已完成</t>
        </is>
      </c>
      <c r="N25" s="46" t="inlineStr">
        <is>
          <t>未执行</t>
        </is>
      </c>
      <c r="O25" s="45" t="inlineStr">
        <is>
          <t>TC-00 / E2E流程Excel A页</t>
        </is>
      </c>
      <c r="P25" s="46" t="inlineStr">
        <is>
          <t>失败项建 Issue</t>
        </is>
      </c>
      <c r="Q25" s="45" t="inlineStr">
        <is>
          <t>—</t>
        </is>
      </c>
    </row>
    <row r="26" ht="29.85" customHeight="1" s="28">
      <c r="A26" s="41" t="inlineStr">
        <is>
          <t>2.2</t>
        </is>
      </c>
      <c r="B26" s="42" t="inlineStr">
        <is>
          <t>批次1</t>
        </is>
      </c>
      <c r="C26" s="41" t="inlineStr">
        <is>
          <t>D1·D-1</t>
        </is>
      </c>
      <c r="D26" s="42" t="inlineStr">
        <is>
          <t>架构设计</t>
        </is>
      </c>
      <c r="E26" s="42" t="inlineStr">
        <is>
          <t>架构设计</t>
        </is>
      </c>
      <c r="F26" s="42" t="inlineStr">
        <is>
          <t>认证与多租户方案：租户上下文传递 + RLS 策略（ADR-002）</t>
        </is>
      </c>
      <c r="G26" s="41" t="inlineStr">
        <is>
          <t>P0</t>
        </is>
      </c>
      <c r="H26" s="42" t="inlineStr">
        <is>
          <t>已完成</t>
        </is>
      </c>
      <c r="I26" s="41" t="inlineStr">
        <is>
          <t>Claude Code+用户拍板</t>
        </is>
      </c>
      <c r="J26" s="41" t="inlineStr">
        <is>
          <t>2.1</t>
        </is>
      </c>
      <c r="K26" s="41" t="inlineStr">
        <is>
          <t>ADR+时序图可复述</t>
        </is>
      </c>
      <c r="L26" s="41" t="inlineStr">
        <is>
          <t>—</t>
        </is>
      </c>
      <c r="M26" s="41" t="inlineStr">
        <is>
          <t>—</t>
        </is>
      </c>
      <c r="N26" s="41" t="inlineStr">
        <is>
          <t>—</t>
        </is>
      </c>
      <c r="O26" s="41" t="inlineStr">
        <is>
          <t>docs/adr/ADR-002-tenant-context-rls.md; TC-S0 ISO组</t>
        </is>
      </c>
      <c r="P26" s="42" t="inlineStr">
        <is>
          <t>ADR-002 已拍板(2026-07-20)；认证=SupabaseAuth+服务端会话；上下文=org_id进JWT claim，契约{userId,orgId,roles}；RLS=请求级客户端生效/service_role锁死lib/db/admin.ts单文件，四道约束禁绕过；含3张时序图+current_org_id()改法(A道随3.3落地)</t>
        </is>
      </c>
      <c r="Q26" s="41" t="inlineStr">
        <is>
          <t>—</t>
        </is>
      </c>
    </row>
    <row r="27" ht="29.85" customHeight="1" s="28">
      <c r="A27" s="45" t="inlineStr">
        <is>
          <t>2.3</t>
        </is>
      </c>
      <c r="B27" s="46" t="inlineStr">
        <is>
          <t>批次1</t>
        </is>
      </c>
      <c r="C27" s="45" t="inlineStr">
        <is>
          <t>D1·D-2</t>
        </is>
      </c>
      <c r="D27" s="46" t="inlineStr">
        <is>
          <t>架构设计</t>
        </is>
      </c>
      <c r="E27" s="46" t="inlineStr">
        <is>
          <t>架构设计</t>
        </is>
      </c>
      <c r="F27" s="46" t="inlineStr">
        <is>
          <t>权限模型：角色-权限矩阵（4 角色）</t>
        </is>
      </c>
      <c r="G27" s="45" t="inlineStr">
        <is>
          <t>P0</t>
        </is>
      </c>
      <c r="H27" s="46" t="inlineStr">
        <is>
          <t>已完成</t>
        </is>
      </c>
      <c r="I27" s="45" t="inlineStr">
        <is>
          <t>Claude Code+用户拍板</t>
        </is>
      </c>
      <c r="J27" s="45" t="inlineStr">
        <is>
          <t>2.2</t>
        </is>
      </c>
      <c r="K27" s="46" t="inlineStr">
        <is>
          <t>矩阵表拍板</t>
        </is>
      </c>
      <c r="L27" s="45" t="inlineStr">
        <is>
          <t>—</t>
        </is>
      </c>
      <c r="M27" s="46" t="inlineStr">
        <is>
          <t>已完成</t>
        </is>
      </c>
      <c r="N27" s="45" t="inlineStr">
        <is>
          <t>—</t>
        </is>
      </c>
      <c r="O27" s="45" t="inlineStr">
        <is>
          <t>docs/adr/ADR-007-rbac-permission-model.md; test-data ROLE_MATRIX; TC-S0权限组</t>
        </is>
      </c>
      <c r="P27" s="46" t="inlineStr">
        <is>
          <t>ADR-007已拍板(2026-07-20)；RBAC+按action鉴权+默认拒绝+多角色并集；4角色x全模块矩阵；按PRD补齐统一上架审核：Agent/Skill/Workflow三资产共用draft-&gt;pending-&gt;published，部门级Admin/Auditor单审，企业级仅Admin创建+Admin必审+可指派AIBP协同双签；requirePermission()落地3.4；平台超管暂缓阶段6</t>
        </is>
      </c>
      <c r="Q27" s="45" t="inlineStr">
        <is>
          <t>—</t>
        </is>
      </c>
    </row>
    <row r="28" ht="15" customHeight="1" s="28">
      <c r="A28" s="47" t="inlineStr">
        <is>
          <t>2.5</t>
        </is>
      </c>
      <c r="B28" s="48" t="inlineStr">
        <is>
          <t>批次1</t>
        </is>
      </c>
      <c r="C28" s="47" t="inlineStr">
        <is>
          <t>D1·D-3</t>
        </is>
      </c>
      <c r="D28" s="48" t="inlineStr">
        <is>
          <t>架构设计</t>
        </is>
      </c>
      <c r="E28" s="48" t="inlineStr">
        <is>
          <t>架构设计</t>
        </is>
      </c>
      <c r="F28" s="48" t="inlineStr">
        <is>
          <t>统一 API 客户端与数据层设计</t>
        </is>
      </c>
      <c r="G28" s="47" t="inlineStr">
        <is>
          <t>P1</t>
        </is>
      </c>
      <c r="H28" s="48" t="inlineStr">
        <is>
          <t>已完成</t>
        </is>
      </c>
      <c r="I28" s="47" t="inlineStr">
        <is>
          <t>Claude Code</t>
        </is>
      </c>
      <c r="J28" s="47" t="inlineStr">
        <is>
          <t>2.4</t>
        </is>
      </c>
      <c r="K28" s="48" t="inlineStr">
        <is>
          <t>约定入 CLAUDE.md</t>
        </is>
      </c>
      <c r="L28" s="47" t="inlineStr">
        <is>
          <t>—</t>
        </is>
      </c>
      <c r="M28" s="47" t="inlineStr">
        <is>
          <t>—</t>
        </is>
      </c>
      <c r="N28" s="47" t="inlineStr">
        <is>
          <t>—</t>
        </is>
      </c>
      <c r="O28" s="47" t="inlineStr">
        <is>
          <t>docs/adr/ADR-008-data-access-layer.md</t>
        </is>
      </c>
      <c r="P28" s="48" t="inlineStr">
        <is>
          <t>ADR-008已拍板(2026-07-20)；四层单向依赖(组件-&gt;API-&gt;lib/data-&gt;supabase)；组件禁直连mock/supabase；lib/data唯一碰库+ctx+server-only；Repository逐页切配合3.5；铁律入CLAUDE.md</t>
        </is>
      </c>
      <c r="Q28" s="47" t="inlineStr">
        <is>
          <t>—</t>
        </is>
      </c>
    </row>
    <row r="29" ht="15" customHeight="1" s="28">
      <c r="A29" s="45" t="inlineStr">
        <is>
          <t>SUP</t>
        </is>
      </c>
      <c r="B29" s="46" t="inlineStr">
        <is>
          <t>批次1</t>
        </is>
      </c>
      <c r="C29" s="49" t="inlineStr">
        <is>
          <t>D1早·你-1</t>
        </is>
      </c>
      <c r="D29" s="46" t="inlineStr">
        <is>
          <t>工程基础</t>
        </is>
      </c>
      <c r="E29" s="46" t="inlineStr">
        <is>
          <t>环境准备</t>
        </is>
      </c>
      <c r="F29" s="46" t="inlineStr">
        <is>
          <t>注册 Supabase 并建项目（区域：新加坡/东京）</t>
        </is>
      </c>
      <c r="G29" s="45" t="inlineStr">
        <is>
          <t>P0</t>
        </is>
      </c>
      <c r="H29" s="46" t="inlineStr">
        <is>
          <t>完成</t>
        </is>
      </c>
      <c r="I29" s="46" t="inlineStr">
        <is>
          <t>用户</t>
        </is>
      </c>
      <c r="J29" s="45" t="inlineStr">
        <is>
          <t>2.1</t>
        </is>
      </c>
      <c r="K29" s="46" t="inlineStr">
        <is>
          <t>拿到 URL+Key</t>
        </is>
      </c>
      <c r="L29" s="45" t="inlineStr">
        <is>
          <t>—</t>
        </is>
      </c>
      <c r="M29" s="45" t="inlineStr">
        <is>
          <t>—</t>
        </is>
      </c>
      <c r="N29" s="45" t="inlineStr">
        <is>
          <t>—</t>
        </is>
      </c>
      <c r="O29" s="45" t="inlineStr">
        <is>
          <t>ADR-001</t>
        </is>
      </c>
      <c r="P29" s="46" t="inlineStr">
        <is>
          <t>阻塞切片0</t>
        </is>
      </c>
      <c r="Q29" s="50" t="inlineStr">
        <is>
          <t>全局前置：完成前所有道不得开工</t>
        </is>
      </c>
    </row>
    <row r="30" ht="29.85" customHeight="1" s="28">
      <c r="A30" s="47" t="inlineStr">
        <is>
          <t>3.1</t>
        </is>
      </c>
      <c r="B30" s="48" t="inlineStr">
        <is>
          <t>批次2</t>
        </is>
      </c>
      <c r="C30" s="51" t="inlineStr">
        <is>
          <t>D1·A-1</t>
        </is>
      </c>
      <c r="D30" s="48" t="inlineStr">
        <is>
          <t>地基</t>
        </is>
      </c>
      <c r="E30" s="48" t="inlineStr">
        <is>
          <t>后端开发</t>
        </is>
      </c>
      <c r="F30" s="48" t="inlineStr">
        <is>
          <t>数据库就绪 + 核心表迁移 + seed 脚本（两租户五账号）</t>
        </is>
      </c>
      <c r="G30" s="47" t="inlineStr">
        <is>
          <t>P0</t>
        </is>
      </c>
      <c r="H30" s="48" t="inlineStr">
        <is>
          <t>进行中</t>
        </is>
      </c>
      <c r="I30" s="47" t="inlineStr">
        <is>
          <t>Claude Code</t>
        </is>
      </c>
      <c r="J30" s="47" t="inlineStr">
        <is>
          <t>2.4,SUP</t>
        </is>
      </c>
      <c r="K30" s="48" t="inlineStr">
        <is>
          <t>迁移可重放/seed 与 test-data 一致</t>
        </is>
      </c>
      <c r="L30" s="47" t="inlineStr">
        <is>
          <t>L3</t>
        </is>
      </c>
      <c r="M30" s="48" t="inlineStr">
        <is>
          <t>已完成</t>
        </is>
      </c>
      <c r="N30" s="48" t="inlineStr">
        <is>
          <t>未开始</t>
        </is>
      </c>
      <c r="O30" s="47" t="inlineStr">
        <is>
          <t>S0-DB×3</t>
        </is>
      </c>
      <c r="P30" s="47" t="inlineStr">
        <is>
          <t>seed=测试数据契约 | PR#51 CI 绿灯，待 S0-AUTH 人工验收</t>
        </is>
      </c>
      <c r="Q30" s="51" t="inlineStr">
        <is>
          <t>migration 仅限 A 道；不得与任何其他道的建表/改表并行</t>
        </is>
      </c>
    </row>
    <row r="31" ht="15" customHeight="1" s="28">
      <c r="A31" s="45" t="inlineStr">
        <is>
          <t>3.2</t>
        </is>
      </c>
      <c r="B31" s="46" t="inlineStr">
        <is>
          <t>批次2</t>
        </is>
      </c>
      <c r="C31" s="45" t="inlineStr">
        <is>
          <t>D1·A-2</t>
        </is>
      </c>
      <c r="D31" s="46" t="inlineStr">
        <is>
          <t>地基</t>
        </is>
      </c>
      <c r="E31" s="46" t="inlineStr">
        <is>
          <t>后端开发</t>
        </is>
      </c>
      <c r="F31" s="46" t="inlineStr">
        <is>
          <t>注册/登录/退出（Supabase Auth）</t>
        </is>
      </c>
      <c r="G31" s="45" t="inlineStr">
        <is>
          <t>P0</t>
        </is>
      </c>
      <c r="H31" s="46" t="inlineStr">
        <is>
          <t>进行中</t>
        </is>
      </c>
      <c r="I31" s="45" t="inlineStr">
        <is>
          <t>Claude Code</t>
        </is>
      </c>
      <c r="J31" s="45" t="inlineStr">
        <is>
          <t>3.1</t>
        </is>
      </c>
      <c r="K31" s="45" t="inlineStr">
        <is>
          <t>S0-AUTH 全绿</t>
        </is>
      </c>
      <c r="L31" s="45" t="inlineStr">
        <is>
          <t>L3/L4</t>
        </is>
      </c>
      <c r="M31" s="46" t="inlineStr">
        <is>
          <t>已完成</t>
        </is>
      </c>
      <c r="N31" s="46" t="inlineStr">
        <is>
          <t>未开始</t>
        </is>
      </c>
      <c r="O31" s="45" t="inlineStr">
        <is>
          <t>S0-AUTH×6</t>
        </is>
      </c>
      <c r="P31" s="46" t="inlineStr">
        <is>
          <t>PR#51 CI 绿灯，待 S0-AUTH 人工验收</t>
        </is>
      </c>
      <c r="Q31" s="45" t="inlineStr">
        <is>
          <t>—</t>
        </is>
      </c>
    </row>
    <row r="32" ht="44" customHeight="1" s="28">
      <c r="A32" s="47" t="inlineStr">
        <is>
          <t>3.3</t>
        </is>
      </c>
      <c r="B32" s="48" t="inlineStr">
        <is>
          <t>批次2</t>
        </is>
      </c>
      <c r="C32" s="51" t="inlineStr">
        <is>
          <t>D1晚-D2早·A-3</t>
        </is>
      </c>
      <c r="D32" s="48" t="inlineStr">
        <is>
          <t>地基</t>
        </is>
      </c>
      <c r="E32" s="48" t="inlineStr">
        <is>
          <t>后端开发</t>
        </is>
      </c>
      <c r="F32" s="48" t="inlineStr">
        <is>
          <t>租户上下文中间件 + RLS 隔离</t>
        </is>
      </c>
      <c r="G32" s="47" t="inlineStr">
        <is>
          <t>P0</t>
        </is>
      </c>
      <c r="H32" s="48" t="inlineStr">
        <is>
          <t>未开始</t>
        </is>
      </c>
      <c r="I32" s="47" t="inlineStr">
        <is>
          <t>Claude Code</t>
        </is>
      </c>
      <c r="J32" s="47" t="inlineStr">
        <is>
          <t>3.2</t>
        </is>
      </c>
      <c r="K32" s="47" t="inlineStr">
        <is>
          <t>S0-ISO 专项全绿</t>
        </is>
      </c>
      <c r="L32" s="47" t="inlineStr">
        <is>
          <t>L3/L5</t>
        </is>
      </c>
      <c r="M32" s="48" t="inlineStr">
        <is>
          <t>已完成</t>
        </is>
      </c>
      <c r="N32" s="48" t="inlineStr">
        <is>
          <t>未开始</t>
        </is>
      </c>
      <c r="O32" s="47" t="inlineStr">
        <is>
          <t>S0-CTX×3+S0-ISO×5</t>
        </is>
      </c>
      <c r="P32" s="48" t="inlineStr">
        <is>
          <t>失败=P0停线</t>
        </is>
      </c>
      <c r="Q32" s="52" t="inlineStr">
        <is>
          <t>关键路径：不可与 3.4/3.5 并行（二者依赖它）；S0-ISO 未全绿前 B/C/D/E 道禁止合并 main</t>
        </is>
      </c>
    </row>
    <row r="33" ht="15" customHeight="1" s="28">
      <c r="A33" s="45" t="inlineStr">
        <is>
          <t>3.4</t>
        </is>
      </c>
      <c r="B33" s="46" t="inlineStr">
        <is>
          <t>批次2</t>
        </is>
      </c>
      <c r="C33" s="49" t="inlineStr">
        <is>
          <t>D2·A-4</t>
        </is>
      </c>
      <c r="D33" s="46" t="inlineStr">
        <is>
          <t>地基</t>
        </is>
      </c>
      <c r="E33" s="46" t="inlineStr">
        <is>
          <t>后端开发</t>
        </is>
      </c>
      <c r="F33" s="46" t="inlineStr">
        <is>
          <t>权限校验中间件（API 级）</t>
        </is>
      </c>
      <c r="G33" s="45" t="inlineStr">
        <is>
          <t>P0</t>
        </is>
      </c>
      <c r="H33" s="46" t="inlineStr">
        <is>
          <t>未开始</t>
        </is>
      </c>
      <c r="I33" s="45" t="inlineStr">
        <is>
          <t>Claude Code</t>
        </is>
      </c>
      <c r="J33" s="45" t="inlineStr">
        <is>
          <t>3.3</t>
        </is>
      </c>
      <c r="K33" s="45" t="inlineStr">
        <is>
          <t>S0-PRM 全绿</t>
        </is>
      </c>
      <c r="L33" s="45" t="inlineStr">
        <is>
          <t>L2/L3</t>
        </is>
      </c>
      <c r="M33" s="46" t="inlineStr">
        <is>
          <t>已完成</t>
        </is>
      </c>
      <c r="N33" s="46" t="inlineStr">
        <is>
          <t>未开始</t>
        </is>
      </c>
      <c r="O33" s="45" t="inlineStr">
        <is>
          <t>S0-PRM×4</t>
        </is>
      </c>
      <c r="P33" s="46" t="n"/>
      <c r="Q33" s="50" t="inlineStr">
        <is>
          <t>依赖 3.3，不可与 3.3 并行</t>
        </is>
      </c>
    </row>
    <row r="34" ht="15" customHeight="1" s="28">
      <c r="A34" s="47" t="inlineStr">
        <is>
          <t>3.5</t>
        </is>
      </c>
      <c r="B34" s="48" t="inlineStr">
        <is>
          <t>批次2</t>
        </is>
      </c>
      <c r="C34" s="51" t="inlineStr">
        <is>
          <t>D2·A-5</t>
        </is>
      </c>
      <c r="D34" s="48" t="inlineStr">
        <is>
          <t>地基</t>
        </is>
      </c>
      <c r="E34" s="48" t="inlineStr">
        <is>
          <t>前端开发</t>
        </is>
      </c>
      <c r="F34" s="48" t="inlineStr">
        <is>
          <t>统一 API 客户端 + Dashboard 首页切真实数据</t>
        </is>
      </c>
      <c r="G34" s="47" t="inlineStr">
        <is>
          <t>P1</t>
        </is>
      </c>
      <c r="H34" s="48" t="inlineStr">
        <is>
          <t>未开始</t>
        </is>
      </c>
      <c r="I34" s="47" t="inlineStr">
        <is>
          <t>Claude Code</t>
        </is>
      </c>
      <c r="J34" s="47" t="inlineStr">
        <is>
          <t>3.4</t>
        </is>
      </c>
      <c r="K34" s="47" t="inlineStr">
        <is>
          <t>S0-DAL 全绿/去 mock</t>
        </is>
      </c>
      <c r="L34" s="47" t="inlineStr">
        <is>
          <t>L3/L4</t>
        </is>
      </c>
      <c r="M34" s="48" t="inlineStr">
        <is>
          <t>已完成</t>
        </is>
      </c>
      <c r="N34" s="48" t="inlineStr">
        <is>
          <t>未开始</t>
        </is>
      </c>
      <c r="O34" s="47" t="inlineStr">
        <is>
          <t>S0-DAL×3</t>
        </is>
      </c>
      <c r="P34" s="48" t="n"/>
      <c r="Q34" s="52" t="inlineStr">
        <is>
          <t>依赖 3.4，同道串行</t>
        </is>
      </c>
    </row>
    <row r="35" ht="29.85" customHeight="1" s="28">
      <c r="A35" s="45" t="inlineStr">
        <is>
          <t>0.7</t>
        </is>
      </c>
      <c r="B35" s="46" t="inlineStr">
        <is>
          <t>批次2</t>
        </is>
      </c>
      <c r="C35" s="45" t="inlineStr">
        <is>
          <t>D1·B-1</t>
        </is>
      </c>
      <c r="D35" s="46" t="inlineStr">
        <is>
          <t>地基</t>
        </is>
      </c>
      <c r="E35" s="46" t="inlineStr">
        <is>
          <t>部署运维</t>
        </is>
      </c>
      <c r="F35" s="46" t="inlineStr">
        <is>
          <t>服务器部署链路（43.173.99.218：Node+PM2/Docker+Nginx）</t>
        </is>
      </c>
      <c r="G35" s="45" t="inlineStr">
        <is>
          <t>P0</t>
        </is>
      </c>
      <c r="H35" s="46" t="inlineStr">
        <is>
          <t>未开始</t>
        </is>
      </c>
      <c r="I35" s="46" t="inlineStr">
        <is>
          <t>用户+Claude Code</t>
        </is>
      </c>
      <c r="J35" s="45" t="inlineStr">
        <is>
          <t>0.6b</t>
        </is>
      </c>
      <c r="K35" s="46" t="inlineStr">
        <is>
          <t>线上可注册登录</t>
        </is>
      </c>
      <c r="L35" s="45" t="inlineStr">
        <is>
          <t>L4</t>
        </is>
      </c>
      <c r="M35" s="46" t="inlineStr">
        <is>
          <t>已完成</t>
        </is>
      </c>
      <c r="N35" s="46" t="inlineStr">
        <is>
          <t>未开始</t>
        </is>
      </c>
      <c r="O35" s="45" t="inlineStr">
        <is>
          <t>S0-DEP×2</t>
        </is>
      </c>
      <c r="P35" s="46" t="n"/>
      <c r="Q35" s="45" t="inlineStr">
        <is>
          <t>—</t>
        </is>
      </c>
    </row>
    <row r="36" ht="15" customHeight="1" s="28">
      <c r="A36" s="47" t="inlineStr">
        <is>
          <t>0.8</t>
        </is>
      </c>
      <c r="B36" s="48" t="inlineStr">
        <is>
          <t>批次2</t>
        </is>
      </c>
      <c r="C36" s="51" t="inlineStr">
        <is>
          <t>D1·B-2</t>
        </is>
      </c>
      <c r="D36" s="48" t="inlineStr">
        <is>
          <t>地基</t>
        </is>
      </c>
      <c r="E36" s="48" t="inlineStr">
        <is>
          <t>部署运维</t>
        </is>
      </c>
      <c r="F36" s="47" t="inlineStr">
        <is>
          <t>GitHub Actions 自动部署 + 部署后冒烟</t>
        </is>
      </c>
      <c r="G36" s="47" t="inlineStr">
        <is>
          <t>P1</t>
        </is>
      </c>
      <c r="H36" s="48" t="inlineStr">
        <is>
          <t>未开始</t>
        </is>
      </c>
      <c r="I36" s="47" t="inlineStr">
        <is>
          <t>Claude Code</t>
        </is>
      </c>
      <c r="J36" s="47" t="inlineStr">
        <is>
          <t>0.7</t>
        </is>
      </c>
      <c r="K36" s="47" t="inlineStr">
        <is>
          <t>push 即上线</t>
        </is>
      </c>
      <c r="L36" s="47" t="inlineStr">
        <is>
          <t>L4</t>
        </is>
      </c>
      <c r="M36" s="47" t="inlineStr">
        <is>
          <t>—</t>
        </is>
      </c>
      <c r="N36" s="47" t="inlineStr">
        <is>
          <t>—</t>
        </is>
      </c>
      <c r="O36" s="47" t="inlineStr">
        <is>
          <t>ci.yml</t>
        </is>
      </c>
      <c r="P36" s="48" t="n"/>
      <c r="Q36" s="52" t="inlineStr">
        <is>
          <t>依赖 0.7，同道串行</t>
        </is>
      </c>
    </row>
    <row r="37" ht="26.85" customHeight="1" s="28">
      <c r="A37" s="45" t="inlineStr">
        <is>
          <t>3.7</t>
        </is>
      </c>
      <c r="B37" s="46" t="inlineStr">
        <is>
          <t>批次2</t>
        </is>
      </c>
      <c r="C37" s="45" t="inlineStr">
        <is>
          <t>D1·C-6(备)</t>
        </is>
      </c>
      <c r="D37" s="46" t="inlineStr">
        <is>
          <t>地基</t>
        </is>
      </c>
      <c r="E37" s="46" t="inlineStr">
        <is>
          <t>测试基建</t>
        </is>
      </c>
      <c r="F37" s="46" t="inlineStr">
        <is>
          <t>认证/权限首批自动化测试 + 隔离专项脚本 test:isolation</t>
        </is>
      </c>
      <c r="G37" s="45" t="inlineStr">
        <is>
          <t>P0</t>
        </is>
      </c>
      <c r="H37" s="46" t="inlineStr">
        <is>
          <t>未开始</t>
        </is>
      </c>
      <c r="I37" s="45" t="inlineStr">
        <is>
          <t>Claude Code</t>
        </is>
      </c>
      <c r="J37" s="45" t="inlineStr">
        <is>
          <t>3.4</t>
        </is>
      </c>
      <c r="K37" s="45" t="inlineStr">
        <is>
          <t>CI 全绿</t>
        </is>
      </c>
      <c r="L37" s="45" t="inlineStr">
        <is>
          <t>L2/L3/L5</t>
        </is>
      </c>
      <c r="M37" s="46" t="inlineStr">
        <is>
          <t>已完成</t>
        </is>
      </c>
      <c r="N37" s="46" t="inlineStr">
        <is>
          <t>未开始</t>
        </is>
      </c>
      <c r="O37" s="45" t="inlineStr">
        <is>
          <t>TC-S0 全部</t>
        </is>
      </c>
      <c r="P37" s="46" t="n"/>
      <c r="Q37" s="45" t="inlineStr">
        <is>
          <t>—</t>
        </is>
      </c>
    </row>
    <row r="38" ht="29.85" customHeight="1" s="28">
      <c r="A38" s="47" t="inlineStr">
        <is>
          <t>G3</t>
        </is>
      </c>
      <c r="B38" s="48" t="inlineStr">
        <is>
          <t>批次2</t>
        </is>
      </c>
      <c r="C38" s="51" t="inlineStr">
        <is>
          <t>D2午·你-3</t>
        </is>
      </c>
      <c r="D38" s="48" t="inlineStr">
        <is>
          <t>地基</t>
        </is>
      </c>
      <c r="E38" s="48" t="inlineStr">
        <is>
          <t>里程碑</t>
        </is>
      </c>
      <c r="F38" s="48" t="inlineStr">
        <is>
          <t>检测关口3：租户隔离专项通过 + 线上空壳可用</t>
        </is>
      </c>
      <c r="G38" s="47" t="inlineStr">
        <is>
          <t>P0</t>
        </is>
      </c>
      <c r="H38" s="48" t="inlineStr">
        <is>
          <t>未开始</t>
        </is>
      </c>
      <c r="I38" s="48" t="inlineStr">
        <is>
          <t>用户验收</t>
        </is>
      </c>
      <c r="J38" s="47" t="inlineStr">
        <is>
          <t>3.3,0.7</t>
        </is>
      </c>
      <c r="K38" s="48" t="inlineStr">
        <is>
          <t>关口标准全过</t>
        </is>
      </c>
      <c r="L38" s="47" t="inlineStr">
        <is>
          <t>L5/L6</t>
        </is>
      </c>
      <c r="M38" s="47" t="inlineStr">
        <is>
          <t>—</t>
        </is>
      </c>
      <c r="N38" s="47" t="inlineStr">
        <is>
          <t>—</t>
        </is>
      </c>
      <c r="O38" s="47" t="inlineStr">
        <is>
          <t>E2E_STAGE→0</t>
        </is>
      </c>
      <c r="P38" s="48" t="inlineStr">
        <is>
          <t>过关才进批次3</t>
        </is>
      </c>
      <c r="Q38" s="52" t="inlineStr">
        <is>
          <t>验收窗口：期间所有道冻结合并与部署</t>
        </is>
      </c>
    </row>
    <row r="39" ht="15" customHeight="1" s="28">
      <c r="A39" s="45" t="inlineStr">
        <is>
          <t>4.1.1</t>
        </is>
      </c>
      <c r="B39" s="46" t="inlineStr">
        <is>
          <t>批次3</t>
        </is>
      </c>
      <c r="C39" s="45" t="inlineStr">
        <is>
          <t>D2·B-3</t>
        </is>
      </c>
      <c r="D39" s="45" t="inlineStr">
        <is>
          <t>Agent</t>
        </is>
      </c>
      <c r="E39" s="46" t="inlineStr">
        <is>
          <t>后端+前端</t>
        </is>
      </c>
      <c r="F39" s="45" t="inlineStr">
        <is>
          <t>Agent CRUD API + 页面接通</t>
        </is>
      </c>
      <c r="G39" s="45" t="inlineStr">
        <is>
          <t>P1</t>
        </is>
      </c>
      <c r="H39" s="46" t="inlineStr">
        <is>
          <t>未开始</t>
        </is>
      </c>
      <c r="I39" s="45" t="inlineStr">
        <is>
          <t>Claude Code</t>
        </is>
      </c>
      <c r="J39" s="45" t="inlineStr">
        <is>
          <t>G3</t>
        </is>
      </c>
      <c r="K39" s="45" t="inlineStr">
        <is>
          <t>S1-CRUD 全绿</t>
        </is>
      </c>
      <c r="L39" s="45" t="inlineStr">
        <is>
          <t>L2/L3/L4</t>
        </is>
      </c>
      <c r="M39" s="46" t="inlineStr">
        <is>
          <t>已完成</t>
        </is>
      </c>
      <c r="N39" s="46" t="inlineStr">
        <is>
          <t>未开始</t>
        </is>
      </c>
      <c r="O39" s="45" t="inlineStr">
        <is>
          <t>S1-CRUD×7</t>
        </is>
      </c>
      <c r="P39" s="46" t="n"/>
      <c r="Q39" s="45" t="inlineStr">
        <is>
          <t>—</t>
        </is>
      </c>
    </row>
    <row r="40" ht="15" customHeight="1" s="28">
      <c r="A40" s="47" t="inlineStr">
        <is>
          <t>4.1.2</t>
        </is>
      </c>
      <c r="B40" s="48" t="inlineStr">
        <is>
          <t>批次3</t>
        </is>
      </c>
      <c r="C40" s="51" t="inlineStr">
        <is>
          <t>D2·B-4</t>
        </is>
      </c>
      <c r="D40" s="47" t="inlineStr">
        <is>
          <t>Agent</t>
        </is>
      </c>
      <c r="E40" s="48" t="inlineStr">
        <is>
          <t>后端开发</t>
        </is>
      </c>
      <c r="F40" s="47" t="inlineStr">
        <is>
          <t>Agent 状态机（4 态流转 + 非法拦截）</t>
        </is>
      </c>
      <c r="G40" s="47" t="inlineStr">
        <is>
          <t>P0</t>
        </is>
      </c>
      <c r="H40" s="48" t="inlineStr">
        <is>
          <t>未开始</t>
        </is>
      </c>
      <c r="I40" s="47" t="inlineStr">
        <is>
          <t>Claude Code</t>
        </is>
      </c>
      <c r="J40" s="47" t="inlineStr">
        <is>
          <t>4.1.1</t>
        </is>
      </c>
      <c r="K40" s="48" t="inlineStr">
        <is>
          <t>状态机矩阵全绿</t>
        </is>
      </c>
      <c r="L40" s="47" t="inlineStr">
        <is>
          <t>L2</t>
        </is>
      </c>
      <c r="M40" s="48" t="inlineStr">
        <is>
          <t>已完成</t>
        </is>
      </c>
      <c r="N40" s="48" t="inlineStr">
        <is>
          <t>未开始</t>
        </is>
      </c>
      <c r="O40" s="47" t="inlineStr">
        <is>
          <t>S1-STM×4 / 矩阵11条</t>
        </is>
      </c>
      <c r="P40" s="48" t="inlineStr">
        <is>
          <t>本切片最高风险</t>
        </is>
      </c>
      <c r="Q40" s="52" t="inlineStr">
        <is>
          <t>依赖 4.1.1，不可与 4.1.1 并行</t>
        </is>
      </c>
    </row>
    <row r="41" ht="15" customHeight="1" s="28">
      <c r="A41" s="45" t="inlineStr">
        <is>
          <t>4.1.3</t>
        </is>
      </c>
      <c r="B41" s="46" t="inlineStr">
        <is>
          <t>批次3</t>
        </is>
      </c>
      <c r="C41" s="49" t="inlineStr">
        <is>
          <t>D2·B-5</t>
        </is>
      </c>
      <c r="D41" s="45" t="inlineStr">
        <is>
          <t>Agent</t>
        </is>
      </c>
      <c r="E41" s="46" t="inlineStr">
        <is>
          <t>后端+前端</t>
        </is>
      </c>
      <c r="F41" s="46" t="inlineStr">
        <is>
          <t>审核流程接入安全管理（审批+留痕）</t>
        </is>
      </c>
      <c r="G41" s="45" t="inlineStr">
        <is>
          <t>P0</t>
        </is>
      </c>
      <c r="H41" s="46" t="inlineStr">
        <is>
          <t>未开始</t>
        </is>
      </c>
      <c r="I41" s="45" t="inlineStr">
        <is>
          <t>Claude Code</t>
        </is>
      </c>
      <c r="J41" s="45" t="inlineStr">
        <is>
          <t>4.1.2</t>
        </is>
      </c>
      <c r="K41" s="45" t="inlineStr">
        <is>
          <t>S1-REV 全绿</t>
        </is>
      </c>
      <c r="L41" s="45" t="inlineStr">
        <is>
          <t>L3</t>
        </is>
      </c>
      <c r="M41" s="46" t="inlineStr">
        <is>
          <t>已完成</t>
        </is>
      </c>
      <c r="N41" s="46" t="inlineStr">
        <is>
          <t>未开始</t>
        </is>
      </c>
      <c r="O41" s="45" t="inlineStr">
        <is>
          <t>S1-REV×4</t>
        </is>
      </c>
      <c r="P41" s="46" t="n"/>
      <c r="Q41" s="50" t="inlineStr">
        <is>
          <t>依赖 4.1.2，同道串行</t>
        </is>
      </c>
    </row>
    <row r="42" ht="29.85" customHeight="1" s="28">
      <c r="A42" s="47" t="inlineStr">
        <is>
          <t>4.1.4</t>
        </is>
      </c>
      <c r="B42" s="48" t="inlineStr">
        <is>
          <t>批次3</t>
        </is>
      </c>
      <c r="C42" s="51" t="inlineStr">
        <is>
          <t>D2·C-7</t>
        </is>
      </c>
      <c r="D42" s="47" t="inlineStr">
        <is>
          <t>Agent</t>
        </is>
      </c>
      <c r="E42" s="47" t="inlineStr">
        <is>
          <t>AI 集成</t>
        </is>
      </c>
      <c r="F42" s="48" t="inlineStr">
        <is>
          <t>数字员工接通真实大模型对话</t>
        </is>
      </c>
      <c r="G42" s="47" t="inlineStr">
        <is>
          <t>P1</t>
        </is>
      </c>
      <c r="H42" s="48" t="inlineStr">
        <is>
          <t>未开始</t>
        </is>
      </c>
      <c r="I42" s="47" t="inlineStr">
        <is>
          <t>Claude Code</t>
        </is>
      </c>
      <c r="J42" s="47" t="inlineStr">
        <is>
          <t>4.1.1,2.7</t>
        </is>
      </c>
      <c r="K42" s="47" t="inlineStr">
        <is>
          <t>S1-CHAT 全绿</t>
        </is>
      </c>
      <c r="L42" s="47" t="inlineStr">
        <is>
          <t>L3/L4/L5</t>
        </is>
      </c>
      <c r="M42" s="48" t="inlineStr">
        <is>
          <t>已完成</t>
        </is>
      </c>
      <c r="N42" s="48" t="inlineStr">
        <is>
          <t>未开始</t>
        </is>
      </c>
      <c r="O42" s="47" t="inlineStr">
        <is>
          <t>S1-CHAT×5</t>
        </is>
      </c>
      <c r="P42" s="47" t="inlineStr">
        <is>
          <t>API Key 只在服务端</t>
        </is>
      </c>
      <c r="Q42" s="52" t="inlineStr">
        <is>
          <t>合并前仅本地联调：不可与未完成的 4.1.1 做集成</t>
        </is>
      </c>
    </row>
    <row r="43" ht="15" customHeight="1" s="28">
      <c r="A43" s="45" t="inlineStr">
        <is>
          <t>4.1.5</t>
        </is>
      </c>
      <c r="B43" s="46" t="inlineStr">
        <is>
          <t>批次3</t>
        </is>
      </c>
      <c r="C43" s="45" t="inlineStr">
        <is>
          <t>D2·C-8</t>
        </is>
      </c>
      <c r="D43" s="45" t="inlineStr">
        <is>
          <t>Agent</t>
        </is>
      </c>
      <c r="E43" s="46" t="inlineStr">
        <is>
          <t>后端开发</t>
        </is>
      </c>
      <c r="F43" s="46" t="inlineStr">
        <is>
          <t>调用日志落库 + 指标展示</t>
        </is>
      </c>
      <c r="G43" s="45" t="inlineStr">
        <is>
          <t>P1</t>
        </is>
      </c>
      <c r="H43" s="46" t="inlineStr">
        <is>
          <t>未开始</t>
        </is>
      </c>
      <c r="I43" s="45" t="inlineStr">
        <is>
          <t>Claude Code</t>
        </is>
      </c>
      <c r="J43" s="45" t="inlineStr">
        <is>
          <t>4.1.4</t>
        </is>
      </c>
      <c r="K43" s="45" t="inlineStr">
        <is>
          <t>S1-LOG 全绿</t>
        </is>
      </c>
      <c r="L43" s="45" t="inlineStr">
        <is>
          <t>L3/L5</t>
        </is>
      </c>
      <c r="M43" s="46" t="inlineStr">
        <is>
          <t>已完成</t>
        </is>
      </c>
      <c r="N43" s="46" t="inlineStr">
        <is>
          <t>未开始</t>
        </is>
      </c>
      <c r="O43" s="45" t="inlineStr">
        <is>
          <t>S1-LOG×3</t>
        </is>
      </c>
      <c r="P43" s="46" t="n"/>
      <c r="Q43" s="45" t="inlineStr">
        <is>
          <t>—</t>
        </is>
      </c>
    </row>
    <row r="44" ht="29.85" customHeight="1" s="28">
      <c r="A44" s="47" t="inlineStr">
        <is>
          <t>4.1.6</t>
        </is>
      </c>
      <c r="B44" s="48" t="inlineStr">
        <is>
          <t>批次3</t>
        </is>
      </c>
      <c r="C44" s="51" t="inlineStr">
        <is>
          <t>D2·C-9</t>
        </is>
      </c>
      <c r="D44" s="47" t="inlineStr">
        <is>
          <t>Agent</t>
        </is>
      </c>
      <c r="E44" s="47" t="inlineStr">
        <is>
          <t>AI Copilot</t>
        </is>
      </c>
      <c r="F44" s="47" t="inlineStr">
        <is>
          <t>Agent Copilot 最简版（配置页侧栏，生成落 draft）</t>
        </is>
      </c>
      <c r="G44" s="47" t="inlineStr">
        <is>
          <t>P1</t>
        </is>
      </c>
      <c r="H44" s="48" t="inlineStr">
        <is>
          <t>未开始</t>
        </is>
      </c>
      <c r="I44" s="47" t="inlineStr">
        <is>
          <t>Claude Code</t>
        </is>
      </c>
      <c r="J44" s="47" t="inlineStr">
        <is>
          <t>4.1.1</t>
        </is>
      </c>
      <c r="K44" s="47" t="inlineStr">
        <is>
          <t>Schema 校验/不可发布/留审计</t>
        </is>
      </c>
      <c r="L44" s="47" t="inlineStr">
        <is>
          <t>L2/L3</t>
        </is>
      </c>
      <c r="M44" s="48" t="inlineStr">
        <is>
          <t>已完成</t>
        </is>
      </c>
      <c r="N44" s="48" t="inlineStr">
        <is>
          <t>未开始</t>
        </is>
      </c>
      <c r="O44" s="47" t="inlineStr">
        <is>
          <t>CP-01/02/05</t>
        </is>
      </c>
      <c r="P44" s="47" t="inlineStr">
        <is>
          <t>ADR-005</t>
        </is>
      </c>
      <c r="Q44" s="52" t="inlineStr">
        <is>
          <t>依赖 4.1.1 的 Schema 定稿</t>
        </is>
      </c>
    </row>
    <row r="45" ht="29.85" customHeight="1" s="28">
      <c r="A45" s="45" t="inlineStr">
        <is>
          <t>G4a</t>
        </is>
      </c>
      <c r="B45" s="46" t="inlineStr">
        <is>
          <t>批次3</t>
        </is>
      </c>
      <c r="C45" s="46" t="inlineStr">
        <is>
          <t>并入D3晚终验收</t>
        </is>
      </c>
      <c r="D45" s="45" t="inlineStr">
        <is>
          <t>Agent</t>
        </is>
      </c>
      <c r="E45" s="46" t="inlineStr">
        <is>
          <t>里程碑</t>
        </is>
      </c>
      <c r="F45" s="45" t="inlineStr">
        <is>
          <t>Agent 阶段验收：PRD 4.1 全链路演示 + Codex 交叉测试</t>
        </is>
      </c>
      <c r="G45" s="45" t="inlineStr">
        <is>
          <t>P0</t>
        </is>
      </c>
      <c r="H45" s="46" t="inlineStr">
        <is>
          <t>未开始</t>
        </is>
      </c>
      <c r="I45" s="46" t="inlineStr">
        <is>
          <t>用户+Codex</t>
        </is>
      </c>
      <c r="J45" s="45" t="inlineStr">
        <is>
          <t>4.1.5</t>
        </is>
      </c>
      <c r="K45" s="45" t="inlineStr">
        <is>
          <t>S1-ACC 闭环</t>
        </is>
      </c>
      <c r="L45" s="45" t="inlineStr">
        <is>
          <t>L4/L6</t>
        </is>
      </c>
      <c r="M45" s="46" t="inlineStr">
        <is>
          <t>已完成</t>
        </is>
      </c>
      <c r="N45" s="46" t="inlineStr">
        <is>
          <t>未开始</t>
        </is>
      </c>
      <c r="O45" s="45" t="inlineStr">
        <is>
          <t>S1-ACC×3</t>
        </is>
      </c>
      <c r="P45" s="45" t="inlineStr">
        <is>
          <t>E2E_STAGE→1</t>
        </is>
      </c>
      <c r="Q45" s="45" t="inlineStr">
        <is>
          <t>—</t>
        </is>
      </c>
    </row>
    <row r="46" ht="15" customHeight="1" s="28">
      <c r="A46" s="47" t="inlineStr">
        <is>
          <t>5.1</t>
        </is>
      </c>
      <c r="B46" s="48" t="inlineStr">
        <is>
          <t>批次3</t>
        </is>
      </c>
      <c r="C46" s="47" t="inlineStr">
        <is>
          <t>D3·你(顺带)</t>
        </is>
      </c>
      <c r="D46" s="48" t="inlineStr">
        <is>
          <t>用户验证</t>
        </is>
      </c>
      <c r="E46" s="48" t="inlineStr">
        <is>
          <t>用户测试</t>
        </is>
      </c>
      <c r="F46" s="48" t="inlineStr">
        <is>
          <t>种子用户名单（5-10 个）</t>
        </is>
      </c>
      <c r="G46" s="47" t="inlineStr">
        <is>
          <t>P1</t>
        </is>
      </c>
      <c r="H46" s="48" t="inlineStr">
        <is>
          <t>未开始</t>
        </is>
      </c>
      <c r="I46" s="48" t="inlineStr">
        <is>
          <t>用户</t>
        </is>
      </c>
      <c r="J46" s="47" t="inlineStr">
        <is>
          <t>1.4</t>
        </is>
      </c>
      <c r="K46" s="48" t="inlineStr">
        <is>
          <t>名单确认</t>
        </is>
      </c>
      <c r="L46" s="47" t="inlineStr">
        <is>
          <t>L6</t>
        </is>
      </c>
      <c r="M46" s="47" t="inlineStr">
        <is>
          <t>—</t>
        </is>
      </c>
      <c r="N46" s="47" t="inlineStr">
        <is>
          <t>—</t>
        </is>
      </c>
      <c r="O46" s="47" t="inlineStr">
        <is>
          <t>—</t>
        </is>
      </c>
      <c r="P46" s="48" t="inlineStr">
        <is>
          <t>可提前准备</t>
        </is>
      </c>
      <c r="Q46" s="47" t="inlineStr">
        <is>
          <t>—</t>
        </is>
      </c>
    </row>
    <row r="47" ht="15" customHeight="1" s="28">
      <c r="A47" s="45" t="inlineStr">
        <is>
          <t>4.2.1</t>
        </is>
      </c>
      <c r="B47" s="46" t="inlineStr">
        <is>
          <t>批次4</t>
        </is>
      </c>
      <c r="C47" s="45" t="inlineStr">
        <is>
          <t>D2·D-4</t>
        </is>
      </c>
      <c r="D47" s="46" t="inlineStr">
        <is>
          <t>知识库</t>
        </is>
      </c>
      <c r="E47" s="46" t="inlineStr">
        <is>
          <t>后端+前端</t>
        </is>
      </c>
      <c r="F47" s="46" t="inlineStr">
        <is>
          <t>文档上传（PDF）+ 存储 + 删除</t>
        </is>
      </c>
      <c r="G47" s="45" t="inlineStr">
        <is>
          <t>P1</t>
        </is>
      </c>
      <c r="H47" s="46" t="inlineStr">
        <is>
          <t>未开始</t>
        </is>
      </c>
      <c r="I47" s="45" t="inlineStr">
        <is>
          <t>Claude Code</t>
        </is>
      </c>
      <c r="J47" s="45" t="inlineStr">
        <is>
          <t>G4a</t>
        </is>
      </c>
      <c r="K47" s="45" t="inlineStr">
        <is>
          <t>S2-UPL 全绿</t>
        </is>
      </c>
      <c r="L47" s="45" t="inlineStr">
        <is>
          <t>L3/L4/L5</t>
        </is>
      </c>
      <c r="M47" s="46" t="inlineStr">
        <is>
          <t>已完成</t>
        </is>
      </c>
      <c r="N47" s="46" t="inlineStr">
        <is>
          <t>未开始</t>
        </is>
      </c>
      <c r="O47" s="45" t="inlineStr">
        <is>
          <t>S2-UPL×5</t>
        </is>
      </c>
      <c r="P47" s="46" t="n"/>
      <c r="Q47" s="45" t="inlineStr">
        <is>
          <t>—</t>
        </is>
      </c>
    </row>
    <row r="48" ht="15" customHeight="1" s="28">
      <c r="A48" s="47" t="inlineStr">
        <is>
          <t>4.2.2</t>
        </is>
      </c>
      <c r="B48" s="48" t="inlineStr">
        <is>
          <t>批次4</t>
        </is>
      </c>
      <c r="C48" s="51" t="inlineStr">
        <is>
          <t>D2·D-5</t>
        </is>
      </c>
      <c r="D48" s="48" t="inlineStr">
        <is>
          <t>知识库</t>
        </is>
      </c>
      <c r="E48" s="47" t="inlineStr">
        <is>
          <t>AI 集成</t>
        </is>
      </c>
      <c r="F48" s="48" t="inlineStr">
        <is>
          <t>解析/切块/向量化（pgvector）+ 重新索引</t>
        </is>
      </c>
      <c r="G48" s="47" t="inlineStr">
        <is>
          <t>P1</t>
        </is>
      </c>
      <c r="H48" s="48" t="inlineStr">
        <is>
          <t>未开始</t>
        </is>
      </c>
      <c r="I48" s="47" t="inlineStr">
        <is>
          <t>Claude Code</t>
        </is>
      </c>
      <c r="J48" s="47" t="inlineStr">
        <is>
          <t>4.2.1</t>
        </is>
      </c>
      <c r="K48" s="47" t="inlineStr">
        <is>
          <t>S2-IDX 全绿</t>
        </is>
      </c>
      <c r="L48" s="47" t="inlineStr">
        <is>
          <t>L3</t>
        </is>
      </c>
      <c r="M48" s="48" t="inlineStr">
        <is>
          <t>已完成</t>
        </is>
      </c>
      <c r="N48" s="48" t="inlineStr">
        <is>
          <t>未开始</t>
        </is>
      </c>
      <c r="O48" s="47" t="inlineStr">
        <is>
          <t>S2-IDX×4</t>
        </is>
      </c>
      <c r="P48" s="48" t="n"/>
      <c r="Q48" s="52" t="inlineStr">
        <is>
          <t>依赖 4.2.1，同道串行</t>
        </is>
      </c>
    </row>
    <row r="49" ht="29.85" customHeight="1" s="28">
      <c r="A49" s="45" t="inlineStr">
        <is>
          <t>4.2.3</t>
        </is>
      </c>
      <c r="B49" s="46" t="inlineStr">
        <is>
          <t>批次4</t>
        </is>
      </c>
      <c r="C49" s="49" t="inlineStr">
        <is>
          <t>D3·A-6</t>
        </is>
      </c>
      <c r="D49" s="46" t="inlineStr">
        <is>
          <t>知识库</t>
        </is>
      </c>
      <c r="E49" s="45" t="inlineStr">
        <is>
          <t>AI 集成</t>
        </is>
      </c>
      <c r="F49" s="45" t="inlineStr">
        <is>
          <t>RAG 问答带引用 + 金标准评测脚本 test:rag-eval</t>
        </is>
      </c>
      <c r="G49" s="45" t="inlineStr">
        <is>
          <t>P0</t>
        </is>
      </c>
      <c r="H49" s="46" t="inlineStr">
        <is>
          <t>未开始</t>
        </is>
      </c>
      <c r="I49" s="45" t="inlineStr">
        <is>
          <t>Claude Code</t>
        </is>
      </c>
      <c r="J49" s="45" t="inlineStr">
        <is>
          <t>4.2.2</t>
        </is>
      </c>
      <c r="K49" s="46" t="inlineStr">
        <is>
          <t>命中率≥80% 引用≥90%</t>
        </is>
      </c>
      <c r="L49" s="45" t="inlineStr">
        <is>
          <t>L4/L5</t>
        </is>
      </c>
      <c r="M49" s="46" t="inlineStr">
        <is>
          <t>已完成</t>
        </is>
      </c>
      <c r="N49" s="46" t="inlineStr">
        <is>
          <t>未开始</t>
        </is>
      </c>
      <c r="O49" s="45" t="inlineStr">
        <is>
          <t>S2-RAG×4+golden set</t>
        </is>
      </c>
      <c r="P49" s="46" t="inlineStr">
        <is>
          <t>固定语料脚本生成</t>
        </is>
      </c>
      <c r="Q49" s="50" t="inlineStr">
        <is>
          <t>依赖 4.2.2 向量就绪，不可与 4.2.2 并行</t>
        </is>
      </c>
    </row>
    <row r="50" ht="29.85" customHeight="1" s="28">
      <c r="A50" s="47" t="inlineStr">
        <is>
          <t>4.2.4</t>
        </is>
      </c>
      <c r="B50" s="48" t="inlineStr">
        <is>
          <t>批次4</t>
        </is>
      </c>
      <c r="C50" s="47" t="inlineStr">
        <is>
          <t>D3·A-7</t>
        </is>
      </c>
      <c r="D50" s="48" t="inlineStr">
        <is>
          <t>知识库</t>
        </is>
      </c>
      <c r="E50" s="48" t="inlineStr">
        <is>
          <t>办公文件</t>
        </is>
      </c>
      <c r="F50" s="48" t="inlineStr">
        <is>
          <t>文件处理通道①：上传→AI 处理→生成 docx/xlsx/pdf→下载</t>
        </is>
      </c>
      <c r="G50" s="47" t="inlineStr">
        <is>
          <t>P1</t>
        </is>
      </c>
      <c r="H50" s="48" t="inlineStr">
        <is>
          <t>未开始</t>
        </is>
      </c>
      <c r="I50" s="47" t="inlineStr">
        <is>
          <t>Claude Code</t>
        </is>
      </c>
      <c r="J50" s="47" t="inlineStr">
        <is>
          <t>4.2.2</t>
        </is>
      </c>
      <c r="K50" s="48" t="inlineStr">
        <is>
          <t>三类样例正确/生成可打开/留审计</t>
        </is>
      </c>
      <c r="L50" s="47" t="inlineStr">
        <is>
          <t>L3/L4</t>
        </is>
      </c>
      <c r="M50" s="48" t="inlineStr">
        <is>
          <t>已完成</t>
        </is>
      </c>
      <c r="N50" s="48" t="inlineStr">
        <is>
          <t>未开始</t>
        </is>
      </c>
      <c r="O50" s="47" t="inlineStr">
        <is>
          <t>DOC-01/02/03/06</t>
        </is>
      </c>
      <c r="P50" s="47" t="inlineStr">
        <is>
          <t>ADR-006 高优先级</t>
        </is>
      </c>
      <c r="Q50" s="47" t="inlineStr">
        <is>
          <t>—</t>
        </is>
      </c>
    </row>
    <row r="51" ht="29.85" customHeight="1" s="28">
      <c r="A51" s="45" t="inlineStr">
        <is>
          <t>G4b</t>
        </is>
      </c>
      <c r="B51" s="46" t="inlineStr">
        <is>
          <t>批次4</t>
        </is>
      </c>
      <c r="C51" s="46" t="inlineStr">
        <is>
          <t>并入D3晚终验收</t>
        </is>
      </c>
      <c r="D51" s="46" t="inlineStr">
        <is>
          <t>知识库</t>
        </is>
      </c>
      <c r="E51" s="46" t="inlineStr">
        <is>
          <t>里程碑</t>
        </is>
      </c>
      <c r="F51" s="46" t="inlineStr">
        <is>
          <t>知识库阶段验收 + 首轮真实用户测试（3-5 人）</t>
        </is>
      </c>
      <c r="G51" s="45" t="inlineStr">
        <is>
          <t>P0</t>
        </is>
      </c>
      <c r="H51" s="46" t="inlineStr">
        <is>
          <t>未开始</t>
        </is>
      </c>
      <c r="I51" s="46" t="inlineStr">
        <is>
          <t>用户+Codex</t>
        </is>
      </c>
      <c r="J51" s="45" t="inlineStr">
        <is>
          <t>4.2.3,5.1</t>
        </is>
      </c>
      <c r="K51" s="46" t="inlineStr">
        <is>
          <t>验收+观察笔记</t>
        </is>
      </c>
      <c r="L51" s="45" t="inlineStr">
        <is>
          <t>L6</t>
        </is>
      </c>
      <c r="M51" s="46" t="inlineStr">
        <is>
          <t>部分</t>
        </is>
      </c>
      <c r="N51" s="46" t="inlineStr">
        <is>
          <t>未开始</t>
        </is>
      </c>
      <c r="O51" s="45" t="inlineStr">
        <is>
          <t>S2-ACC / 5.2</t>
        </is>
      </c>
      <c r="P51" s="45" t="inlineStr">
        <is>
          <t>E2E_STAGE→2</t>
        </is>
      </c>
      <c r="Q51" s="45" t="inlineStr">
        <is>
          <t>—</t>
        </is>
      </c>
    </row>
    <row r="52" ht="29.85" customHeight="1" s="28">
      <c r="A52" s="47" t="inlineStr">
        <is>
          <t>4.3.0</t>
        </is>
      </c>
      <c r="B52" s="48" t="inlineStr">
        <is>
          <t>批次5</t>
        </is>
      </c>
      <c r="C52" s="47" t="inlineStr">
        <is>
          <t>D2·E-1</t>
        </is>
      </c>
      <c r="D52" s="47" t="inlineStr">
        <is>
          <t>Skill·MCP</t>
        </is>
      </c>
      <c r="E52" s="48" t="inlineStr">
        <is>
          <t>后端+前端</t>
        </is>
      </c>
      <c r="F52" s="47" t="inlineStr">
        <is>
          <t>MCP 管理中心最小版：菜单/注册/审批/启停/权限过滤清单</t>
        </is>
      </c>
      <c r="G52" s="47" t="inlineStr">
        <is>
          <t>P0</t>
        </is>
      </c>
      <c r="H52" s="48" t="inlineStr">
        <is>
          <t>未开始</t>
        </is>
      </c>
      <c r="I52" s="47" t="inlineStr">
        <is>
          <t>Claude Code</t>
        </is>
      </c>
      <c r="J52" s="47" t="inlineStr">
        <is>
          <t>G4b</t>
        </is>
      </c>
      <c r="K52" s="48" t="inlineStr">
        <is>
          <t>无权限不可见；禁用联动</t>
        </is>
      </c>
      <c r="L52" s="47" t="inlineStr">
        <is>
          <t>L3/L5</t>
        </is>
      </c>
      <c r="M52" s="48" t="inlineStr">
        <is>
          <t>已完成</t>
        </is>
      </c>
      <c r="N52" s="48" t="inlineStr">
        <is>
          <t>未开始</t>
        </is>
      </c>
      <c r="O52" s="47" t="inlineStr">
        <is>
          <t>S3-08/10</t>
        </is>
      </c>
      <c r="P52" s="47" t="inlineStr">
        <is>
          <t>ADR-004</t>
        </is>
      </c>
      <c r="Q52" s="47" t="inlineStr">
        <is>
          <t>—</t>
        </is>
      </c>
    </row>
    <row r="53" ht="29.85" customHeight="1" s="28">
      <c r="A53" s="45" t="inlineStr">
        <is>
          <t>4.3.x</t>
        </is>
      </c>
      <c r="B53" s="46" t="inlineStr">
        <is>
          <t>批次5</t>
        </is>
      </c>
      <c r="C53" s="49" t="inlineStr">
        <is>
          <t>D3·B-6</t>
        </is>
      </c>
      <c r="D53" s="45" t="inlineStr">
        <is>
          <t>Skill·MCP</t>
        </is>
      </c>
      <c r="E53" s="46" t="inlineStr">
        <is>
          <t>后端+前端</t>
        </is>
      </c>
      <c r="F53" s="45" t="inlineStr">
        <is>
          <t>Skill Hub 持久化（五类型 CRUD/审核/安装/版本 + MCP 封装表单）</t>
        </is>
      </c>
      <c r="G53" s="45" t="inlineStr">
        <is>
          <t>P1</t>
        </is>
      </c>
      <c r="H53" s="46" t="inlineStr">
        <is>
          <t>未开始</t>
        </is>
      </c>
      <c r="I53" s="45" t="inlineStr">
        <is>
          <t>Claude Code</t>
        </is>
      </c>
      <c r="J53" s="45" t="inlineStr">
        <is>
          <t>4.3.0</t>
        </is>
      </c>
      <c r="K53" s="45" t="inlineStr">
        <is>
          <t>S3 用例全绿</t>
        </is>
      </c>
      <c r="L53" s="45" t="inlineStr">
        <is>
          <t>L2/L3/L4</t>
        </is>
      </c>
      <c r="M53" s="46" t="inlineStr">
        <is>
          <t>部分</t>
        </is>
      </c>
      <c r="N53" s="46" t="inlineStr">
        <is>
          <t>未开始</t>
        </is>
      </c>
      <c r="O53" s="45" t="inlineStr">
        <is>
          <t>TC-S3×11</t>
        </is>
      </c>
      <c r="P53" s="46" t="n"/>
      <c r="Q53" s="50" t="inlineStr">
        <is>
          <t>依赖 4.3.0 的 Server 清单接口</t>
        </is>
      </c>
    </row>
    <row r="54" ht="15" customHeight="1" s="28">
      <c r="A54" s="47" t="inlineStr">
        <is>
          <t>4.3.3</t>
        </is>
      </c>
      <c r="B54" s="48" t="inlineStr">
        <is>
          <t>批次5</t>
        </is>
      </c>
      <c r="C54" s="51" t="inlineStr">
        <is>
          <t>D3·B-7</t>
        </is>
      </c>
      <c r="D54" s="47" t="inlineStr">
        <is>
          <t>Skill·MCP</t>
        </is>
      </c>
      <c r="E54" s="47" t="inlineStr">
        <is>
          <t>AI Copilot</t>
        </is>
      </c>
      <c r="F54" s="47" t="inlineStr">
        <is>
          <t>Skill Copilot（按权限推荐 MCP 封装）</t>
        </is>
      </c>
      <c r="G54" s="47" t="inlineStr">
        <is>
          <t>P1</t>
        </is>
      </c>
      <c r="H54" s="48" t="inlineStr">
        <is>
          <t>未开始</t>
        </is>
      </c>
      <c r="I54" s="47" t="inlineStr">
        <is>
          <t>Claude Code</t>
        </is>
      </c>
      <c r="J54" s="47" t="inlineStr">
        <is>
          <t>4.3.x</t>
        </is>
      </c>
      <c r="K54" s="47" t="inlineStr">
        <is>
          <t>CP-03/06 全绿</t>
        </is>
      </c>
      <c r="L54" s="47" t="inlineStr">
        <is>
          <t>L3</t>
        </is>
      </c>
      <c r="M54" s="48" t="inlineStr">
        <is>
          <t>已完成</t>
        </is>
      </c>
      <c r="N54" s="48" t="inlineStr">
        <is>
          <t>未开始</t>
        </is>
      </c>
      <c r="O54" s="47" t="inlineStr">
        <is>
          <t>CP-03/06</t>
        </is>
      </c>
      <c r="P54" s="48" t="n"/>
      <c r="Q54" s="52" t="inlineStr">
        <is>
          <t>依赖 4.3.x 表单，同道串行</t>
        </is>
      </c>
    </row>
    <row r="55" ht="29.85" customHeight="1" s="28">
      <c r="A55" s="45" t="inlineStr">
        <is>
          <t>4.3.4</t>
        </is>
      </c>
      <c r="B55" s="46" t="inlineStr">
        <is>
          <t>批次5</t>
        </is>
      </c>
      <c r="C55" s="49" t="inlineStr">
        <is>
          <t>D3·B-8</t>
        </is>
      </c>
      <c r="D55" s="45" t="inlineStr">
        <is>
          <t>Skill·MCP</t>
        </is>
      </c>
      <c r="E55" s="46" t="inlineStr">
        <is>
          <t>办公文件</t>
        </is>
      </c>
      <c r="F55" s="46" t="inlineStr">
        <is>
          <t>文件处理通道②：企业云盘 MCP（飞书/WPS/企微微盘自建/OneDrive）</t>
        </is>
      </c>
      <c r="G55" s="45" t="inlineStr">
        <is>
          <t>P1</t>
        </is>
      </c>
      <c r="H55" s="46" t="inlineStr">
        <is>
          <t>未开始</t>
        </is>
      </c>
      <c r="I55" s="45" t="inlineStr">
        <is>
          <t>Claude Code</t>
        </is>
      </c>
      <c r="J55" s="45" t="inlineStr">
        <is>
          <t>4.3.0</t>
        </is>
      </c>
      <c r="K55" s="46" t="inlineStr">
        <is>
          <t>读写分切面/过审批</t>
        </is>
      </c>
      <c r="L55" s="45" t="inlineStr">
        <is>
          <t>L3/L5</t>
        </is>
      </c>
      <c r="M55" s="46" t="inlineStr">
        <is>
          <t>已完成</t>
        </is>
      </c>
      <c r="N55" s="46" t="inlineStr">
        <is>
          <t>未开始</t>
        </is>
      </c>
      <c r="O55" s="45" t="inlineStr">
        <is>
          <t>DOC-04/05</t>
        </is>
      </c>
      <c r="P55" s="45" t="inlineStr">
        <is>
          <t>ADR-006</t>
        </is>
      </c>
      <c r="Q55" s="50" t="inlineStr">
        <is>
          <t>依赖 4.3.0 审批流</t>
        </is>
      </c>
    </row>
    <row r="56" ht="29.85" customHeight="1" s="28">
      <c r="A56" s="47" t="inlineStr">
        <is>
          <t>4.4.x</t>
        </is>
      </c>
      <c r="B56" s="48" t="inlineStr">
        <is>
          <t>批次5</t>
        </is>
      </c>
      <c r="C56" s="47" t="inlineStr">
        <is>
          <t>D3·C-10</t>
        </is>
      </c>
      <c r="D56" s="48" t="inlineStr">
        <is>
          <t>工作流</t>
        </is>
      </c>
      <c r="E56" s="48" t="inlineStr">
        <is>
          <t>后端+前端</t>
        </is>
      </c>
      <c r="F56" s="47" t="inlineStr">
        <is>
          <t>Workflow 保存/校验/最小执行引擎/版本（Code 节点禁用）</t>
        </is>
      </c>
      <c r="G56" s="47" t="inlineStr">
        <is>
          <t>P1</t>
        </is>
      </c>
      <c r="H56" s="48" t="inlineStr">
        <is>
          <t>未开始</t>
        </is>
      </c>
      <c r="I56" s="47" t="inlineStr">
        <is>
          <t>Claude Code</t>
        </is>
      </c>
      <c r="J56" s="47" t="inlineStr">
        <is>
          <t>G4b</t>
        </is>
      </c>
      <c r="K56" s="47" t="inlineStr">
        <is>
          <t>S4 骨架用例细化后全绿</t>
        </is>
      </c>
      <c r="L56" s="47" t="inlineStr">
        <is>
          <t>L2/L3/L4</t>
        </is>
      </c>
      <c r="M56" s="48" t="inlineStr">
        <is>
          <t>部分</t>
        </is>
      </c>
      <c r="N56" s="48" t="inlineStr">
        <is>
          <t>未开始</t>
        </is>
      </c>
      <c r="O56" s="47" t="inlineStr">
        <is>
          <t>TC-S4×9</t>
        </is>
      </c>
      <c r="P56" s="48" t="n"/>
      <c r="Q56" s="47" t="inlineStr">
        <is>
          <t>—</t>
        </is>
      </c>
    </row>
    <row r="57" ht="29.85" customHeight="1" s="28">
      <c r="A57" s="45" t="inlineStr">
        <is>
          <t>4.4.5</t>
        </is>
      </c>
      <c r="B57" s="46" t="inlineStr">
        <is>
          <t>批次5</t>
        </is>
      </c>
      <c r="C57" s="49" t="inlineStr">
        <is>
          <t>D3·C-11</t>
        </is>
      </c>
      <c r="D57" s="46" t="inlineStr">
        <is>
          <t>工作流</t>
        </is>
      </c>
      <c r="E57" s="45" t="inlineStr">
        <is>
          <t>AI Copilot</t>
        </is>
      </c>
      <c r="F57" s="45" t="inlineStr">
        <is>
          <t>Workflow/Chatflow Copilot：意图跳转+流式生成+澄清面板回填+Dify 硬约束</t>
        </is>
      </c>
      <c r="G57" s="45" t="inlineStr">
        <is>
          <t>P0</t>
        </is>
      </c>
      <c r="H57" s="46" t="inlineStr">
        <is>
          <t>未开始</t>
        </is>
      </c>
      <c r="I57" s="45" t="inlineStr">
        <is>
          <t>Claude Code</t>
        </is>
      </c>
      <c r="J57" s="45" t="inlineStr">
        <is>
          <t>4.4.x</t>
        </is>
      </c>
      <c r="K57" s="46" t="inlineStr">
        <is>
          <t>三场景验收（PRD v1.09）</t>
        </is>
      </c>
      <c r="L57" s="45" t="inlineStr">
        <is>
          <t>L3/L4</t>
        </is>
      </c>
      <c r="M57" s="46" t="inlineStr">
        <is>
          <t>已完成</t>
        </is>
      </c>
      <c r="N57" s="46" t="inlineStr">
        <is>
          <t>未开始</t>
        </is>
      </c>
      <c r="O57" s="45" t="inlineStr">
        <is>
          <t>CP-04/07/08/09/10</t>
        </is>
      </c>
      <c r="P57" s="45" t="inlineStr">
        <is>
          <t>ADR-005 交互协议</t>
        </is>
      </c>
      <c r="Q57" s="50" t="inlineStr">
        <is>
          <t>依赖 4.4.x 图校验器，不可与 4.4.x 并行</t>
        </is>
      </c>
    </row>
    <row r="58" ht="29.85" customHeight="1" s="28">
      <c r="A58" s="47" t="inlineStr">
        <is>
          <t>G5</t>
        </is>
      </c>
      <c r="B58" s="48" t="inlineStr">
        <is>
          <t>批次5</t>
        </is>
      </c>
      <c r="C58" s="51" t="inlineStr">
        <is>
          <t>D3晚·你-4(终验收)</t>
        </is>
      </c>
      <c r="D58" s="47" t="inlineStr">
        <is>
          <t>Skill·MCP/工作流</t>
        </is>
      </c>
      <c r="E58" s="48" t="inlineStr">
        <is>
          <t>里程碑</t>
        </is>
      </c>
      <c r="F58" s="47" t="inlineStr">
        <is>
          <t>Skill·MCP/工作流阶段验收 + 第二轮用户测试</t>
        </is>
      </c>
      <c r="G58" s="47" t="inlineStr">
        <is>
          <t>P0</t>
        </is>
      </c>
      <c r="H58" s="48" t="inlineStr">
        <is>
          <t>未开始</t>
        </is>
      </c>
      <c r="I58" s="48" t="inlineStr">
        <is>
          <t>用户+Codex</t>
        </is>
      </c>
      <c r="J58" s="47" t="inlineStr">
        <is>
          <t>4.3.x,4.4.x</t>
        </is>
      </c>
      <c r="K58" s="48" t="inlineStr">
        <is>
          <t>上轮卡点消除</t>
        </is>
      </c>
      <c r="L58" s="47" t="inlineStr">
        <is>
          <t>L6</t>
        </is>
      </c>
      <c r="M58" s="47" t="inlineStr">
        <is>
          <t>—</t>
        </is>
      </c>
      <c r="N58" s="48" t="inlineStr">
        <is>
          <t>未开始</t>
        </is>
      </c>
      <c r="O58" s="47" t="inlineStr">
        <is>
          <t>5.3/5.4</t>
        </is>
      </c>
      <c r="P58" s="47" t="inlineStr">
        <is>
          <t>E2E_STAGE→4</t>
        </is>
      </c>
      <c r="Q58" s="52" t="inlineStr">
        <is>
          <t>终验收窗口：全量回归期间各道禁止 push</t>
        </is>
      </c>
    </row>
    <row r="59" ht="15" customHeight="1" s="28">
      <c r="A59" s="45" t="inlineStr">
        <is>
          <t>4.5.1</t>
        </is>
      </c>
      <c r="B59" s="46" t="inlineStr">
        <is>
          <t>批次6</t>
        </is>
      </c>
      <c r="C59" s="45" t="inlineStr">
        <is>
          <t>D3·D-6</t>
        </is>
      </c>
      <c r="D59" s="46" t="inlineStr">
        <is>
          <t>成员租户</t>
        </is>
      </c>
      <c r="E59" s="46" t="inlineStr">
        <is>
          <t>后端+前端</t>
        </is>
      </c>
      <c r="F59" s="46" t="inlineStr">
        <is>
          <t>成员邀请/角色/禁用闭环</t>
        </is>
      </c>
      <c r="G59" s="45" t="inlineStr">
        <is>
          <t>P1</t>
        </is>
      </c>
      <c r="H59" s="46" t="inlineStr">
        <is>
          <t>未开始</t>
        </is>
      </c>
      <c r="I59" s="45" t="inlineStr">
        <is>
          <t>Claude Code</t>
        </is>
      </c>
      <c r="J59" s="45" t="inlineStr">
        <is>
          <t>G5</t>
        </is>
      </c>
      <c r="K59" s="45" t="inlineStr">
        <is>
          <t>S5 用例全绿</t>
        </is>
      </c>
      <c r="L59" s="45" t="inlineStr">
        <is>
          <t>L3/L4</t>
        </is>
      </c>
      <c r="M59" s="46" t="inlineStr">
        <is>
          <t>部分</t>
        </is>
      </c>
      <c r="N59" s="46" t="inlineStr">
        <is>
          <t>未开始</t>
        </is>
      </c>
      <c r="O59" s="45" t="inlineStr">
        <is>
          <t>TC-S5×3</t>
        </is>
      </c>
      <c r="P59" s="46" t="n"/>
      <c r="Q59" s="45" t="inlineStr">
        <is>
          <t>—</t>
        </is>
      </c>
    </row>
    <row r="60" ht="15" customHeight="1" s="28">
      <c r="A60" s="47" t="inlineStr">
        <is>
          <t>4.5.2</t>
        </is>
      </c>
      <c r="B60" s="48" t="inlineStr">
        <is>
          <t>批次6</t>
        </is>
      </c>
      <c r="C60" s="47" t="inlineStr">
        <is>
          <t>D3·D-7</t>
        </is>
      </c>
      <c r="D60" s="48" t="inlineStr">
        <is>
          <t>成员租户</t>
        </is>
      </c>
      <c r="E60" s="48" t="inlineStr">
        <is>
          <t>后端+前端</t>
        </is>
      </c>
      <c r="F60" s="48" t="inlineStr">
        <is>
          <t>租户开通/配额/暂停闭环</t>
        </is>
      </c>
      <c r="G60" s="47" t="inlineStr">
        <is>
          <t>P1</t>
        </is>
      </c>
      <c r="H60" s="48" t="inlineStr">
        <is>
          <t>未开始</t>
        </is>
      </c>
      <c r="I60" s="47" t="inlineStr">
        <is>
          <t>Claude Code</t>
        </is>
      </c>
      <c r="J60" s="47" t="inlineStr">
        <is>
          <t>4.5.1</t>
        </is>
      </c>
      <c r="K60" s="47" t="inlineStr">
        <is>
          <t>S5 用例全绿</t>
        </is>
      </c>
      <c r="L60" s="47" t="inlineStr">
        <is>
          <t>L3/L4</t>
        </is>
      </c>
      <c r="M60" s="48" t="inlineStr">
        <is>
          <t>部分</t>
        </is>
      </c>
      <c r="N60" s="48" t="inlineStr">
        <is>
          <t>未开始</t>
        </is>
      </c>
      <c r="O60" s="47" t="inlineStr">
        <is>
          <t>TC-S5×3</t>
        </is>
      </c>
      <c r="P60" s="48" t="n"/>
      <c r="Q60" s="47" t="inlineStr">
        <is>
          <t>—</t>
        </is>
      </c>
    </row>
    <row r="61" ht="29.85" customHeight="1" s="28">
      <c r="A61" s="45" t="inlineStr">
        <is>
          <t>5.2-4</t>
        </is>
      </c>
      <c r="B61" s="46" t="inlineStr">
        <is>
          <t>批次6</t>
        </is>
      </c>
      <c r="C61" s="46" t="inlineStr">
        <is>
          <t>冲刺后(需真实用户)</t>
        </is>
      </c>
      <c r="D61" s="46" t="inlineStr">
        <is>
          <t>用户验证</t>
        </is>
      </c>
      <c r="E61" s="46" t="inlineStr">
        <is>
          <t>用户测试</t>
        </is>
      </c>
      <c r="F61" s="46" t="inlineStr">
        <is>
          <t>持续用户测试循环（观察→反馈→调整）</t>
        </is>
      </c>
      <c r="G61" s="45" t="inlineStr">
        <is>
          <t>P0</t>
        </is>
      </c>
      <c r="H61" s="46" t="inlineStr">
        <is>
          <t>未开始</t>
        </is>
      </c>
      <c r="I61" s="46" t="inlineStr">
        <is>
          <t>用户</t>
        </is>
      </c>
      <c r="J61" s="45" t="inlineStr">
        <is>
          <t>G4b</t>
        </is>
      </c>
      <c r="K61" s="46" t="inlineStr">
        <is>
          <t>检测关口5 达标</t>
        </is>
      </c>
      <c r="L61" s="45" t="inlineStr">
        <is>
          <t>L6</t>
        </is>
      </c>
      <c r="M61" s="45" t="inlineStr">
        <is>
          <t>—</t>
        </is>
      </c>
      <c r="N61" s="46" t="inlineStr">
        <is>
          <t>未开始</t>
        </is>
      </c>
      <c r="O61" s="45" t="inlineStr">
        <is>
          <t>TESTING §L6②</t>
        </is>
      </c>
      <c r="P61" s="46" t="inlineStr">
        <is>
          <t>无复访即回炉场景</t>
        </is>
      </c>
      <c r="Q61" s="45" t="inlineStr">
        <is>
          <t>—</t>
        </is>
      </c>
    </row>
    <row r="62" ht="29.85" customHeight="1" s="28">
      <c r="A62" s="53" t="inlineStr">
        <is>
          <t>6.1-6</t>
        </is>
      </c>
      <c r="B62" s="54" t="inlineStr">
        <is>
          <t>批次7</t>
        </is>
      </c>
      <c r="C62" s="54" t="inlineStr">
        <is>
          <t>触发后排期</t>
        </is>
      </c>
      <c r="D62" s="54" t="inlineStr">
        <is>
          <t>平台化</t>
        </is>
      </c>
      <c r="E62" s="54" t="inlineStr">
        <is>
          <t>平台化</t>
        </is>
      </c>
      <c r="F62" s="54" t="inlineStr">
        <is>
          <t>计费/MCP/审计/监控/租户内部管理/开放API</t>
        </is>
      </c>
      <c r="G62" s="53" t="inlineStr">
        <is>
          <t>P2</t>
        </is>
      </c>
      <c r="H62" s="54" t="inlineStr">
        <is>
          <t>暂缓</t>
        </is>
      </c>
      <c r="I62" s="53" t="inlineStr">
        <is>
          <t>Claude Code</t>
        </is>
      </c>
      <c r="J62" s="54" t="inlineStr">
        <is>
          <t>真实需求触发</t>
        </is>
      </c>
      <c r="K62" s="54" t="inlineStr">
        <is>
          <t>触发条件满足才启动</t>
        </is>
      </c>
      <c r="L62" s="54" t="inlineStr">
        <is>
          <t>全部</t>
        </is>
      </c>
      <c r="M62" s="53" t="inlineStr">
        <is>
          <t>—</t>
        </is>
      </c>
      <c r="N62" s="53" t="inlineStr">
        <is>
          <t>—</t>
        </is>
      </c>
      <c r="O62" s="53" t="inlineStr">
        <is>
          <t>ROADMAP 阶段6</t>
        </is>
      </c>
      <c r="P62" s="54" t="inlineStr">
        <is>
          <t>勿提前做</t>
        </is>
      </c>
      <c r="Q62" s="53" t="inlineStr">
        <is>
          <t>—</t>
        </is>
      </c>
    </row>
  </sheetData>
  <autoFilter ref="A1:Q62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E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27" min="1" max="1"/>
    <col width="44" customWidth="1" style="27" min="2" max="2"/>
    <col width="10" customWidth="1" style="27" min="3" max="3"/>
    <col width="42" customWidth="1" style="27" min="4" max="4"/>
    <col width="10" customWidth="1" style="27" min="5" max="5"/>
  </cols>
  <sheetData>
    <row r="1" ht="17.35" customHeight="1" s="28">
      <c r="A1" s="55" t="inlineStr">
        <is>
          <t>质量关口（过关才能进入下一批次）</t>
        </is>
      </c>
    </row>
    <row r="3" ht="15" customHeight="1" s="28">
      <c r="A3" s="34" t="inlineStr">
        <is>
          <t>关口</t>
        </is>
      </c>
      <c r="B3" s="34" t="inlineStr">
        <is>
          <t>内容</t>
        </is>
      </c>
      <c r="C3" s="34" t="inlineStr">
        <is>
          <t>前置批次</t>
        </is>
      </c>
      <c r="D3" s="34" t="inlineStr">
        <is>
          <t>通过标准</t>
        </is>
      </c>
      <c r="E3" s="34" t="inlineStr">
        <is>
          <t>状态</t>
        </is>
      </c>
    </row>
    <row r="4" ht="15" customHeight="1" s="28">
      <c r="A4" s="46" t="inlineStr">
        <is>
          <t>关口1</t>
        </is>
      </c>
      <c r="B4" s="46" t="inlineStr">
        <is>
          <t>产品定义完成才写代码</t>
        </is>
      </c>
      <c r="C4" s="46" t="inlineStr">
        <is>
          <t>已过</t>
        </is>
      </c>
      <c r="D4" s="45" t="inlineStr">
        <is>
          <t>PRD/UI 规范/审计入库</t>
        </is>
      </c>
      <c r="E4" s="46" t="inlineStr">
        <is>
          <t>✅ 已通过</t>
        </is>
      </c>
    </row>
    <row r="5" ht="15" customHeight="1" s="28">
      <c r="A5" s="46" t="inlineStr">
        <is>
          <t>关口2</t>
        </is>
      </c>
      <c r="B5" s="46" t="inlineStr">
        <is>
          <t>架构 ADR 全部拍板才开发</t>
        </is>
      </c>
      <c r="C5" s="46" t="inlineStr">
        <is>
          <t>批次1</t>
        </is>
      </c>
      <c r="D5" s="45" t="inlineStr">
        <is>
          <t>ADR-001~003 拍板且用户能复述</t>
        </is>
      </c>
      <c r="E5" s="45" t="inlineStr">
        <is>
          <t>🔄 1/3</t>
        </is>
      </c>
    </row>
    <row r="6" ht="15" customHeight="1" s="28">
      <c r="A6" s="46" t="inlineStr">
        <is>
          <t>关口3</t>
        </is>
      </c>
      <c r="B6" s="46" t="inlineStr">
        <is>
          <t>隔离与地基通过才做功能</t>
        </is>
      </c>
      <c r="C6" s="46" t="inlineStr">
        <is>
          <t>批次2</t>
        </is>
      </c>
      <c r="D6" s="45" t="inlineStr">
        <is>
          <t>S0-ISO 全绿 + 线上空壳可用 + CI 含测试</t>
        </is>
      </c>
      <c r="E6" s="46" t="inlineStr">
        <is>
          <t>⬜ 未开始</t>
        </is>
      </c>
    </row>
    <row r="7" ht="15" customHeight="1" s="28">
      <c r="A7" s="46" t="inlineStr">
        <is>
          <t>关口4</t>
        </is>
      </c>
      <c r="B7" s="46" t="inlineStr">
        <is>
          <t>每切片验收（演示+交叉测试）</t>
        </is>
      </c>
      <c r="C7" s="46" t="inlineStr">
        <is>
          <t>批次3-5</t>
        </is>
      </c>
      <c r="D7" s="46" t="inlineStr">
        <is>
          <t>切片 ACC 用例闭环 + Codex 报告闭环 + 每周可演示</t>
        </is>
      </c>
      <c r="E7" s="46" t="inlineStr">
        <is>
          <t>⬜ 未开始</t>
        </is>
      </c>
    </row>
    <row r="8" ht="15" customHeight="1" s="28">
      <c r="A8" s="46" t="inlineStr">
        <is>
          <t>关口5</t>
        </is>
      </c>
      <c r="B8" s="46" t="inlineStr">
        <is>
          <t>用户复访率达标才扩功能</t>
        </is>
      </c>
      <c r="C8" s="46" t="inlineStr">
        <is>
          <t>批次6</t>
        </is>
      </c>
      <c r="D8" s="45" t="inlineStr">
        <is>
          <t>5 个用户中 ≥1 人主动二次使用，否则回炉场景</t>
        </is>
      </c>
      <c r="E8" s="46" t="inlineStr">
        <is>
          <t>⬜ 未开始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" customWidth="1" style="27" min="1" max="1"/>
    <col width="16" customWidth="1" style="27" min="2" max="2"/>
    <col width="52" customWidth="1" style="27" min="3" max="3"/>
    <col width="40" customWidth="1" style="27" min="4" max="4"/>
  </cols>
  <sheetData>
    <row r="1" ht="17.35" customHeight="1" s="28">
      <c r="A1" s="55" t="inlineStr">
        <is>
          <t>批次与阶段说明（读懂本表只需这一页）</t>
        </is>
      </c>
    </row>
    <row r="3" ht="15" customHeight="1" s="28">
      <c r="A3" s="34" t="inlineStr">
        <is>
          <t>批次</t>
        </is>
      </c>
      <c r="B3" s="34" t="inlineStr">
        <is>
          <t>对应阶段</t>
        </is>
      </c>
      <c r="C3" s="34" t="inlineStr">
        <is>
          <t>这一批做什么</t>
        </is>
      </c>
      <c r="D3" s="34" t="inlineStr">
        <is>
          <t>进入下一批的条件（质量关口）</t>
        </is>
      </c>
    </row>
    <row r="4" ht="44" customHeight="1" s="28">
      <c r="A4" s="46" t="inlineStr">
        <is>
          <t>批次0</t>
        </is>
      </c>
      <c r="B4" s="46" t="inlineStr">
        <is>
          <t>历史基线</t>
        </is>
      </c>
      <c r="C4" s="46" t="inlineStr">
        <is>
          <t>项目启动前已完成的东西：前端原型、PRD/UI 规范/审计、主控文件、测试体系文档与用例、E2E 套件——无需再操作，只是记账</t>
        </is>
      </c>
      <c r="D4" s="46" t="inlineStr">
        <is>
          <t>—（天然完成）</t>
        </is>
      </c>
    </row>
    <row r="5" ht="44" customHeight="1" s="28">
      <c r="A5" s="46" t="inlineStr">
        <is>
          <t>批次1</t>
        </is>
      </c>
      <c r="B5" s="46" t="inlineStr">
        <is>
          <t>开工准备 + 架构收尾</t>
        </is>
      </c>
      <c r="C5" s="46" t="inlineStr">
        <is>
          <t>扫清开发前障碍：注册 Supabase（硬阻塞）、首次 push + CI 首跑、手动跑 TC-00、装 Playwright/Vitest、分支保护；补完最后两项架构设计（ADR-002 租户方案、权限矩阵、数据层设计）</t>
        </is>
      </c>
      <c r="D5" s="46" t="inlineStr">
        <is>
          <t>关口2：全部 ADR 拍板且你能复述；CI 绿灯</t>
        </is>
      </c>
    </row>
    <row r="6" ht="29.85" customHeight="1" s="28">
      <c r="A6" s="46" t="inlineStr">
        <is>
          <t>批次2</t>
        </is>
      </c>
      <c r="B6" s="46" t="inlineStr">
        <is>
          <t>地基</t>
        </is>
      </c>
      <c r="C6" s="46" t="inlineStr">
        <is>
          <t>一切功能共同依赖的底座：建表+seed、注册登录、租户隔离（RLS）、权限校验、数据层切真实数据、服务器部署链路</t>
        </is>
      </c>
      <c r="D6" s="46" t="inlineStr">
        <is>
          <t>关口3：租户隔离专项 5 条全绿（红一条全线停工）+ 线上空壳可注册登录</t>
        </is>
      </c>
    </row>
    <row r="7" ht="29.85" customHeight="1" s="28">
      <c r="A7" s="46" t="inlineStr">
        <is>
          <t>批次3</t>
        </is>
      </c>
      <c r="B7" s="45" t="inlineStr">
        <is>
          <t>Agent</t>
        </is>
      </c>
      <c r="C7" s="46" t="inlineStr">
        <is>
          <t>第一条端到端业务闭环：Agent 增删改查→状态机→审核→真实大模型对话→调用日志 + Agent Copilot 最简版</t>
        </is>
      </c>
      <c r="D7" s="46" t="inlineStr">
        <is>
          <t>关口4：全链路当面演示通过 + Codex 交叉测试闭环</t>
        </is>
      </c>
    </row>
    <row r="8" ht="29.85" customHeight="1" s="28">
      <c r="A8" s="46" t="inlineStr">
        <is>
          <t>批次4</t>
        </is>
      </c>
      <c r="B8" s="46" t="inlineStr">
        <is>
          <t>知识库</t>
        </is>
      </c>
      <c r="C8" s="45" t="inlineStr">
        <is>
          <t>RAG 闭环（上传→解析向量化→带引用问答→金标准评测≥80%）+ 办公文件处理通道①（上传-AI处理-下载）</t>
        </is>
      </c>
      <c r="D8" s="46" t="inlineStr">
        <is>
          <t>阶段验收 + 首轮真实用户测试（3-5 人观察）</t>
        </is>
      </c>
    </row>
    <row r="9" ht="44" customHeight="1" s="28">
      <c r="A9" s="46" t="inlineStr">
        <is>
          <t>批次5</t>
        </is>
      </c>
      <c r="B9" s="45" t="inlineStr">
        <is>
          <t>Skill·MCP + 工作流</t>
        </is>
      </c>
      <c r="C9" s="45" t="inlineStr">
        <is>
          <t>MCP 管理中心、Skill Hub 五类型与封装、云盘接入（含企微微盘）；工作流保存/校验/执行引擎 + Workflow Copilot（意图跳转/澄清面板/Dify 约束）</t>
        </is>
      </c>
      <c r="D9" s="46" t="inlineStr">
        <is>
          <t>阶段验收 + 第二轮用户测试（上轮卡点不再出现）</t>
        </is>
      </c>
    </row>
    <row r="10" ht="29.85" customHeight="1" s="28">
      <c r="A10" s="46" t="inlineStr">
        <is>
          <t>批次6</t>
        </is>
      </c>
      <c r="B10" s="46" t="inlineStr">
        <is>
          <t>成员租户 + 持续验证</t>
        </is>
      </c>
      <c r="C10" s="46" t="inlineStr">
        <is>
          <t>成员邀请/角色/禁用闭环、租户开通/配额/暂停闭环；用户测试转入常态循环</t>
        </is>
      </c>
      <c r="D10" s="46" t="inlineStr">
        <is>
          <t>关口5：5 个用户中 ≥1 人主动二次使用，否则回炉改场景</t>
        </is>
      </c>
    </row>
    <row r="11" ht="29.85" customHeight="1" s="28">
      <c r="A11" s="46" t="inlineStr">
        <is>
          <t>批次7</t>
        </is>
      </c>
      <c r="B11" s="46" t="inlineStr">
        <is>
          <t>平台化（暂缓）</t>
        </is>
      </c>
      <c r="C11" s="46" t="inlineStr">
        <is>
          <t>计费/MCP 网关/审计完善/实时监控/开放 API——全部由真实客户需求触发，禁止提前做</t>
        </is>
      </c>
      <c r="D11" s="46" t="inlineStr">
        <is>
          <t>触发条件：10+ 活跃用户 + 用户主动提出 + 核心功能稳定一个月</t>
        </is>
      </c>
    </row>
    <row r="13" ht="17.15" customHeight="1" s="28">
      <c r="A13" s="31" t="inlineStr">
        <is>
          <t>与 Claude Code 的交互方式</t>
        </is>
      </c>
    </row>
    <row r="14" ht="15" customHeight="1" s="28">
      <c r="A14" s="38" t="inlineStr">
        <is>
          <t>交互粒度 = 任务（一个 Issue，≤2 小时），不是批次：一个批次通常需要十几次交互才完成</t>
        </is>
      </c>
    </row>
    <row r="15" ht="15" customHeight="1" s="28">
      <c r="A15" s="38" t="inlineStr">
        <is>
          <t>日常节奏：对 Claude Code 说"继续下一个任务" → 它读 ROADMAP 取当前批次下一个未完成任务 → 复述编号与验收标准 → 你确认 → 开发 → 9 步清单 → 你验收关 Issue</t>
        </is>
      </c>
    </row>
    <row r="16" ht="15" customHeight="1" s="28">
      <c r="A16" s="38" t="inlineStr">
        <is>
          <t>批次内无依赖的任务顺序可灵活；跨批次必须过质量关口，由你亲自验收放行</t>
        </is>
      </c>
    </row>
    <row r="17" ht="15" customHeight="1" s="28">
      <c r="A17" s="38" t="inlineStr">
        <is>
          <t>所属阶段列 = 任务的功能领域归属（原文档中"切片N"的提法已取消：切片0=地基、1=Agent、2=知识库、3=Skill·MCP、4=工作流、5=成员租户）</t>
        </is>
      </c>
    </row>
  </sheetData>
  <mergeCells count="4">
    <mergeCell ref="A15:D15"/>
    <mergeCell ref="A14:D14"/>
    <mergeCell ref="A16:D16"/>
    <mergeCell ref="A17:D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E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1" customWidth="1" style="27" min="1" max="1"/>
    <col width="8" customWidth="1" style="27" min="2" max="2"/>
    <col width="18" customWidth="1" style="27" min="3" max="3"/>
    <col width="50" customWidth="1" style="27" min="4" max="4"/>
    <col width="34" customWidth="1" style="27" min="5" max="5"/>
  </cols>
  <sheetData>
    <row r="1" ht="21.6" customHeight="1" s="28">
      <c r="A1" s="55" t="inlineStr">
        <is>
          <t>三天全量冲刺（5 条 CLI 并行道：A 数据/B 部署与Skill/C 测试与工作流/D 设计与租户/E 集成）</t>
        </is>
      </c>
    </row>
    <row r="2" ht="15" customHeight="1" s="28">
      <c r="A2" s="30" t="inlineStr">
        <is>
          <t>强制全量模式（2026-07-19 用户拍板）：全部开发任务压入 D1-D3；测试以天为单位打包在每晚执行；红字=串行硬约束。风险已留档于 ROADMAP 决策日志。</t>
        </is>
      </c>
    </row>
    <row r="3" ht="15" customHeight="1" s="28">
      <c r="A3" s="30" t="inlineStr">
        <is>
          <t>记法说明：计划日 = 时段·道-道内序号。D1/D2/D3=第几天；早/午/晚=时段；A~E=五条并行道（各开一个 Claude Code 终端：A 数据地基｜B 部署与Skill｜C 测试与工作流｜D 设计与租户｜E 合并修红）；你=必须本人执行。序号=该道的执行顺序：每条道严格按 A-1→A-2→A-3… 依次做，不同道之间随时并行（除红字全局闸）。例：D2·B-4 = 第2天·B道·该道第4个任务。</t>
        </is>
      </c>
    </row>
    <row r="4" ht="15" customHeight="1" s="28">
      <c r="A4" s="34" t="inlineStr">
        <is>
          <t>时段</t>
        </is>
      </c>
      <c r="B4" s="34" t="inlineStr">
        <is>
          <t>道</t>
        </is>
      </c>
      <c r="C4" s="34" t="inlineStr">
        <is>
          <t>任务编号</t>
        </is>
      </c>
      <c r="D4" s="34" t="inlineStr">
        <is>
          <t>做什么</t>
        </is>
      </c>
      <c r="E4" s="34" t="inlineStr">
        <is>
          <t>当晚测试日结包 / 完成标志</t>
        </is>
      </c>
    </row>
    <row r="5" ht="29.85" customHeight="1" s="28">
      <c r="A5" s="43" t="inlineStr">
        <is>
          <t>D1 早</t>
        </is>
      </c>
      <c r="B5" s="44" t="inlineStr">
        <is>
          <t>你</t>
        </is>
      </c>
      <c r="C5" s="43" t="inlineStr">
        <is>
          <t>SUP + 0.6b</t>
        </is>
      </c>
      <c r="D5" s="44" t="inlineStr">
        <is>
          <t>🔴 全局前置（30分钟，完成前各道不得开工）：Supabase 注册+db push；git 清锁→合并 main→推送</t>
        </is>
      </c>
      <c r="E5" s="43" t="inlineStr">
        <is>
          <t>CI 首跑绿</t>
        </is>
      </c>
    </row>
    <row r="6" ht="29.85" customHeight="1" s="28">
      <c r="A6" s="51" t="inlineStr">
        <is>
          <t>D1</t>
        </is>
      </c>
      <c r="B6" s="51" t="inlineStr">
        <is>
          <t>A</t>
        </is>
      </c>
      <c r="C6" s="51" t="inlineStr">
        <is>
          <t>3.1 → 3.2 → 3.3(晚)</t>
        </is>
      </c>
      <c r="D6" s="51" t="inlineStr">
        <is>
          <t>seed 两租户五账号 → 认证三件套 → 晚上开工租户隔离 🔴3.3 为关键路径，明早收口</t>
        </is>
      </c>
      <c r="E6" s="51" t="inlineStr">
        <is>
          <t>—</t>
        </is>
      </c>
    </row>
    <row r="7" ht="15" customHeight="1" s="28">
      <c r="A7" s="45" t="inlineStr">
        <is>
          <t>D1</t>
        </is>
      </c>
      <c r="B7" s="45" t="inlineStr">
        <is>
          <t>B</t>
        </is>
      </c>
      <c r="C7" s="45" t="inlineStr">
        <is>
          <t>0.7 → 0.8</t>
        </is>
      </c>
      <c r="D7" s="46" t="inlineStr">
        <is>
          <t>服务器部署链路 → 自动部署（🔴0.8 依赖 0.7 同道串行）</t>
        </is>
      </c>
      <c r="E7" s="46" t="inlineStr">
        <is>
          <t>线上空壳可访问</t>
        </is>
      </c>
    </row>
    <row r="8" ht="29.85" customHeight="1" s="28">
      <c r="A8" s="47" t="inlineStr">
        <is>
          <t>D1</t>
        </is>
      </c>
      <c r="B8" s="47" t="inlineStr">
        <is>
          <t>C</t>
        </is>
      </c>
      <c r="C8" s="47" t="inlineStr">
        <is>
          <t>0.9a/b/c + P.1 + 0.6a + 3.7备</t>
        </is>
      </c>
      <c r="D8" s="48" t="inlineStr">
        <is>
          <t>测试基建全套（Playwright/Vitest/CI/分支保护）+ 自动代跑 TC-00 + 建冲刺 Issue + 备好隔离脚本</t>
        </is>
      </c>
      <c r="E8" s="48" t="inlineStr">
        <is>
          <t>冒烟有结果</t>
        </is>
      </c>
    </row>
    <row r="9" ht="29.85" customHeight="1" s="28">
      <c r="A9" s="45" t="inlineStr">
        <is>
          <t>D1</t>
        </is>
      </c>
      <c r="B9" s="45" t="inlineStr">
        <is>
          <t>D</t>
        </is>
      </c>
      <c r="C9" s="45" t="inlineStr">
        <is>
          <t>2.2 + 2.3 + 2.5</t>
        </is>
      </c>
      <c r="D9" s="45" t="inlineStr">
        <is>
          <t>ADR-002 租户方案 + 权限矩阵 + 数据层约定（午间你 10 分钟拍板）</t>
        </is>
      </c>
      <c r="E9" s="45" t="inlineStr">
        <is>
          <t>ADR-002 拍板</t>
        </is>
      </c>
    </row>
    <row r="10" ht="15" customHeight="1" s="28">
      <c r="A10" s="47" t="inlineStr">
        <is>
          <t>D1 晚</t>
        </is>
      </c>
      <c r="B10" s="47" t="inlineStr">
        <is>
          <t>C</t>
        </is>
      </c>
      <c r="C10" s="48" t="inlineStr">
        <is>
          <t>测试日结①</t>
        </is>
      </c>
      <c r="D10" s="47" t="inlineStr">
        <is>
          <t>D1 包：pnpm check + S0-AUTH + TC-00 冒烟 → 红项当晚修</t>
        </is>
      </c>
      <c r="E10" s="47" t="inlineStr">
        <is>
          <t>D1 包全绿</t>
        </is>
      </c>
    </row>
    <row r="11" ht="29.85" customHeight="1" s="28">
      <c r="A11" s="49" t="inlineStr">
        <is>
          <t>D2 早</t>
        </is>
      </c>
      <c r="B11" s="49" t="inlineStr">
        <is>
          <t>A</t>
        </is>
      </c>
      <c r="C11" s="49" t="inlineStr">
        <is>
          <t>3.3 收口</t>
        </is>
      </c>
      <c r="D11" s="50" t="inlineStr">
        <is>
          <t>🔴 隔离专项 S0-ISO 5 条：全绿前 B/C/D/E 道禁止合并 main（唯一硬闸）</t>
        </is>
      </c>
      <c r="E11" s="49" t="inlineStr">
        <is>
          <t>S0-ISO 全绿</t>
        </is>
      </c>
    </row>
    <row r="12" ht="29.85" customHeight="1" s="28">
      <c r="A12" s="51" t="inlineStr">
        <is>
          <t>D2</t>
        </is>
      </c>
      <c r="B12" s="51" t="inlineStr">
        <is>
          <t>A</t>
        </is>
      </c>
      <c r="C12" s="51" t="inlineStr">
        <is>
          <t>3.4 → 3.5</t>
        </is>
      </c>
      <c r="D12" s="52" t="inlineStr">
        <is>
          <t>权限中间件 → 数据层+Dashboard 切真实（🔴 依赖链 3.3→3.4→3.5 严格串行）</t>
        </is>
      </c>
      <c r="E12" s="51" t="inlineStr">
        <is>
          <t>—</t>
        </is>
      </c>
    </row>
    <row r="13" ht="29.85" customHeight="1" s="28">
      <c r="A13" s="49" t="inlineStr">
        <is>
          <t>D2</t>
        </is>
      </c>
      <c r="B13" s="49" t="inlineStr">
        <is>
          <t>B</t>
        </is>
      </c>
      <c r="C13" s="49" t="inlineStr">
        <is>
          <t>4.1.1 → 4.1.2 → 4.1.3</t>
        </is>
      </c>
      <c r="D13" s="49" t="inlineStr">
        <is>
          <t>Agent CRUD → 状态机 → 简化审核（🔴 三者同道串行不可互相并行）</t>
        </is>
      </c>
      <c r="E13" s="49" t="inlineStr">
        <is>
          <t>—</t>
        </is>
      </c>
    </row>
    <row r="14" ht="29.85" customHeight="1" s="28">
      <c r="A14" s="47" t="inlineStr">
        <is>
          <t>D2</t>
        </is>
      </c>
      <c r="B14" s="47" t="inlineStr">
        <is>
          <t>C</t>
        </is>
      </c>
      <c r="C14" s="47" t="inlineStr">
        <is>
          <t>4.1.4 → 4.1.5 → 4.1.6</t>
        </is>
      </c>
      <c r="D14" s="47" t="inlineStr">
        <is>
          <t>Kimi 对话（先开 Moonshot Key）→ 调用日志 → Agent Copilot 最简版</t>
        </is>
      </c>
      <c r="E14" s="47" t="inlineStr">
        <is>
          <t>—</t>
        </is>
      </c>
    </row>
    <row r="15" ht="15" customHeight="1" s="28">
      <c r="A15" s="45" t="inlineStr">
        <is>
          <t>D2</t>
        </is>
      </c>
      <c r="B15" s="45" t="inlineStr">
        <is>
          <t>D</t>
        </is>
      </c>
      <c r="C15" s="45" t="inlineStr">
        <is>
          <t>4.2.1 → 4.2.2</t>
        </is>
      </c>
      <c r="D15" s="46" t="inlineStr">
        <is>
          <t>知识库上传存储 → 解析/向量化（🔴 同道串行）</t>
        </is>
      </c>
      <c r="E15" s="45" t="inlineStr">
        <is>
          <t>—</t>
        </is>
      </c>
    </row>
    <row r="16" ht="15" customHeight="1" s="28">
      <c r="A16" s="47" t="inlineStr">
        <is>
          <t>D2</t>
        </is>
      </c>
      <c r="B16" s="47" t="inlineStr">
        <is>
          <t>E</t>
        </is>
      </c>
      <c r="C16" s="47" t="inlineStr">
        <is>
          <t>4.3.0</t>
        </is>
      </c>
      <c r="D16" s="47" t="inlineStr">
        <is>
          <t>MCP 管理中心最小版（菜单/注册/审批/权限清单）</t>
        </is>
      </c>
      <c r="E16" s="47" t="inlineStr">
        <is>
          <t>—</t>
        </is>
      </c>
    </row>
    <row r="17" ht="29.85" customHeight="1" s="28">
      <c r="A17" s="43" t="inlineStr">
        <is>
          <t>D2 午</t>
        </is>
      </c>
      <c r="B17" s="44" t="inlineStr">
        <is>
          <t>你</t>
        </is>
      </c>
      <c r="C17" s="43" t="inlineStr">
        <is>
          <t>G3</t>
        </is>
      </c>
      <c r="D17" s="44" t="inlineStr">
        <is>
          <t>🔴 压缩验收（30分钟）：隔离复跑亲验 + 线上走查；窗口期各道冻结合并</t>
        </is>
      </c>
      <c r="E17" s="44" t="inlineStr">
        <is>
          <t>你放行</t>
        </is>
      </c>
    </row>
    <row r="18" ht="29.85" customHeight="1" s="28">
      <c r="A18" s="47" t="inlineStr">
        <is>
          <t>D2 晚</t>
        </is>
      </c>
      <c r="B18" s="47" t="inlineStr">
        <is>
          <t>C</t>
        </is>
      </c>
      <c r="C18" s="48" t="inlineStr">
        <is>
          <t>测试日结②</t>
        </is>
      </c>
      <c r="D18" s="47" t="inlineStr">
        <is>
          <t>D2 包：S0 全组 + S1 全组 + CP-01/02/05 + E2E_STAGE=1 → 红项当晚修</t>
        </is>
      </c>
      <c r="E18" s="47" t="inlineStr">
        <is>
          <t>D2 包全绿</t>
        </is>
      </c>
    </row>
    <row r="19" ht="29.85" customHeight="1" s="28">
      <c r="A19" s="49" t="inlineStr">
        <is>
          <t>D3</t>
        </is>
      </c>
      <c r="B19" s="49" t="inlineStr">
        <is>
          <t>A</t>
        </is>
      </c>
      <c r="C19" s="49" t="inlineStr">
        <is>
          <t>4.2.3 → 4.2.4</t>
        </is>
      </c>
      <c r="D19" s="49" t="inlineStr">
        <is>
          <t>RAG 问答+引用（金标准精简 10 题）→ 办公文件通道①（🔴4.2.3 依赖 4.2.2 不可并行）</t>
        </is>
      </c>
      <c r="E19" s="49" t="inlineStr">
        <is>
          <t>—</t>
        </is>
      </c>
    </row>
    <row r="20" ht="29.85" customHeight="1" s="28">
      <c r="A20" s="51" t="inlineStr">
        <is>
          <t>D3</t>
        </is>
      </c>
      <c r="B20" s="51" t="inlineStr">
        <is>
          <t>B</t>
        </is>
      </c>
      <c r="C20" s="51" t="inlineStr">
        <is>
          <t>4.3.x → 4.3.3 → 4.3.4</t>
        </is>
      </c>
      <c r="D20" s="51" t="inlineStr">
        <is>
          <t>Skill Hub 五类型+封装表单 → Skill Copilot → 云盘 MCP（🔴 依赖 4.3.0，三者同道串行）</t>
        </is>
      </c>
      <c r="E20" s="51" t="inlineStr">
        <is>
          <t>—</t>
        </is>
      </c>
    </row>
    <row r="21" ht="29.85" customHeight="1" s="28">
      <c r="A21" s="49" t="inlineStr">
        <is>
          <t>D3</t>
        </is>
      </c>
      <c r="B21" s="49" t="inlineStr">
        <is>
          <t>C</t>
        </is>
      </c>
      <c r="C21" s="49" t="inlineStr">
        <is>
          <t>4.4.x → 4.4.5</t>
        </is>
      </c>
      <c r="D21" s="50" t="inlineStr">
        <is>
          <t>工作流保存/校验/最小执行 → Workflow Copilot 三场景（🔴4.4.5 依赖 4.4.x 图校验器）</t>
        </is>
      </c>
      <c r="E21" s="49" t="inlineStr">
        <is>
          <t>—</t>
        </is>
      </c>
    </row>
    <row r="22" ht="15" customHeight="1" s="28">
      <c r="A22" s="47" t="inlineStr">
        <is>
          <t>D3</t>
        </is>
      </c>
      <c r="B22" s="47" t="inlineStr">
        <is>
          <t>D</t>
        </is>
      </c>
      <c r="C22" s="47" t="inlineStr">
        <is>
          <t>4.5.1 → 4.5.2</t>
        </is>
      </c>
      <c r="D22" s="48" t="inlineStr">
        <is>
          <t>成员邀请/角色/禁用 → 租户开通/配额/暂停</t>
        </is>
      </c>
      <c r="E22" s="47" t="inlineStr">
        <is>
          <t>—</t>
        </is>
      </c>
    </row>
    <row r="23" ht="15" customHeight="1" s="28">
      <c r="A23" s="45" t="inlineStr">
        <is>
          <t>D3</t>
        </is>
      </c>
      <c r="B23" s="45" t="inlineStr">
        <is>
          <t>E</t>
        </is>
      </c>
      <c r="C23" s="46" t="inlineStr">
        <is>
          <t>全量集成</t>
        </is>
      </c>
      <c r="D23" s="46" t="inlineStr">
        <is>
          <t>持续合并、修红、部署上线；准备终验收环境</t>
        </is>
      </c>
      <c r="E23" s="46" t="inlineStr">
        <is>
          <t>线上最新</t>
        </is>
      </c>
    </row>
    <row r="24" ht="44" customHeight="1" s="28">
      <c r="A24" s="43" t="inlineStr">
        <is>
          <t>D3 晚</t>
        </is>
      </c>
      <c r="B24" s="44" t="inlineStr">
        <is>
          <t>你</t>
        </is>
      </c>
      <c r="C24" s="43" t="inlineStr">
        <is>
          <t>G5 终验收 + 测试日结③</t>
        </is>
      </c>
      <c r="D24" s="44" t="inlineStr">
        <is>
          <t>🔴 终验收窗口（1.5h，回归期间各道禁止 push）：D3 包 = S2/S3/S4/S5 + CP/DOC 全组 + E2E_STAGE=5 全量 + S0-ISO 终复跑；你在线上走完全链路</t>
        </is>
      </c>
      <c r="E24" s="44" t="inlineStr">
        <is>
          <t>冲刺交付 ✅</t>
        </is>
      </c>
    </row>
    <row r="26" ht="17.15" customHeight="1" s="28">
      <c r="A26" s="31" t="inlineStr">
        <is>
          <t>并行执行要点（5 道）</t>
        </is>
      </c>
    </row>
    <row r="27" ht="15" customHeight="1" s="28">
      <c r="A27" s="56" t="inlineStr">
        <is>
          <t>5 个终端各建 worktree：git worktree add ../aipaddle-&lt;a~e&gt; feat/track-&lt;a~e&gt;，各自目录里启动 claude 并声明道别与任务清单</t>
        </is>
      </c>
    </row>
    <row r="28" ht="15" customHeight="1" s="28">
      <c r="A28" s="38" t="inlineStr">
        <is>
          <t>目录分工：A=supabase/+lib/db+auth；B=app 业务页+部署脚本；C=lib/llm+tests/+.github+workflow引擎；D=文档+知识库+租户成员页；E=只做合并/修红/部署（不产新功能）</t>
        </is>
      </c>
    </row>
    <row r="29" ht="15" customHeight="1" s="28">
      <c r="A29" s="56" t="inlineStr">
        <is>
          <t>migration 全项目仅 A 道可动；合并节点=每天午/晚由 E 道执行；验收/回归窗口（红字行）期间全道冻结 push</t>
        </is>
      </c>
    </row>
    <row r="30" ht="15" customHeight="1" s="28">
      <c r="A30" s="38" t="inlineStr">
        <is>
          <t>测试以天为单位：白天各道只跑本任务相关测试，每晚由 C 道执行当日测试日结包，红项当晚修完再收工</t>
        </is>
      </c>
    </row>
    <row r="31" ht="15" customHeight="1" s="28">
      <c r="A31" s="38" t="inlineStr">
        <is>
          <t>范围外：用户测试 5.2-4（需真实用户，物理上无法压入）与阶段7平台化维持原状</t>
        </is>
      </c>
    </row>
  </sheetData>
  <mergeCells count="5">
    <mergeCell ref="A30:E30"/>
    <mergeCell ref="A29:E29"/>
    <mergeCell ref="A28:E28"/>
    <mergeCell ref="A31:E31"/>
    <mergeCell ref="A27:E2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C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27" min="1" max="1"/>
    <col width="64" customWidth="1" style="27" min="2" max="2"/>
    <col width="24" customWidth="1" style="27" min="3" max="3"/>
  </cols>
  <sheetData>
    <row r="1" ht="17.35" customHeight="1" s="28">
      <c r="A1" s="55" t="inlineStr">
        <is>
          <t>架构与流程决策日志</t>
        </is>
      </c>
    </row>
    <row r="3" ht="15" customHeight="1" s="28">
      <c r="A3" s="34" t="inlineStr">
        <is>
          <t>日期</t>
        </is>
      </c>
      <c r="B3" s="34" t="inlineStr">
        <is>
          <t>决策内容</t>
        </is>
      </c>
      <c r="C3" s="34" t="inlineStr">
        <is>
          <t>记录位置</t>
        </is>
      </c>
    </row>
    <row r="4" ht="44" customHeight="1" s="28">
      <c r="A4" s="45" t="inlineStr">
        <is>
          <t>2026-07-18</t>
        </is>
      </c>
      <c r="B4" s="46" t="inlineStr">
        <is>
          <t>后端 = Next.js API Routes 单体 + Supabase 云托管（Postgres/Auth/Storage/pgvector）；浏览器永不直连 Supabase；前端技术栈定稿不精简</t>
        </is>
      </c>
      <c r="C4" s="45" t="inlineStr">
        <is>
          <t>ADR-001</t>
        </is>
      </c>
    </row>
    <row r="5" ht="29.85" customHeight="1" s="28">
      <c r="A5" s="45" t="inlineStr">
        <is>
          <t>2026-07-18</t>
        </is>
      </c>
      <c r="B5" s="46" t="inlineStr">
        <is>
          <t>测试策略：六层测试×五时机；Vitest+RTL+Playwright；CI=GitHub Actions；Issue 9 步执行清单</t>
        </is>
      </c>
      <c r="C5" s="45" t="inlineStr">
        <is>
          <t>docs/TESTING.md</t>
        </is>
      </c>
    </row>
    <row r="6" ht="29.85" customHeight="1" s="28">
      <c r="A6" s="45" t="inlineStr">
        <is>
          <t>2026-07-18</t>
        </is>
      </c>
      <c r="B6" s="46" t="inlineStr">
        <is>
          <t>测试自动执行协议：标签→测试集映射；gh 自动回帖；失败自动修复≤3轮；Codex 只读交叉审查</t>
        </is>
      </c>
      <c r="C6" s="45" t="inlineStr">
        <is>
          <t>docs/TESTING_WORKFLOW.md</t>
        </is>
      </c>
    </row>
    <row r="7" ht="15" customHeight="1" s="28">
      <c r="A7" s="45" t="inlineStr">
        <is>
          <t>2026-07-18</t>
        </is>
      </c>
      <c r="B7" s="46" t="inlineStr">
        <is>
          <t>测试用例库 98 条 + E2E 阶段门控套件（E2E_STAGE）+ 测试数据即 seed 契约</t>
        </is>
      </c>
      <c r="C7" s="45" t="inlineStr">
        <is>
          <t>docs/test-cases/ + tests/e2e/</t>
        </is>
      </c>
    </row>
    <row r="8" ht="29.85" customHeight="1" s="28">
      <c r="A8" s="45" t="inlineStr">
        <is>
          <t>2026-07-18</t>
        </is>
      </c>
      <c r="B8" s="46" t="inlineStr">
        <is>
          <t>项目进度固定以本 Excel 格式输出至 docs/AIPaddle-项目进度管控.xlsx，询问进度时自动刷新</t>
        </is>
      </c>
      <c r="C8" s="45" t="inlineStr">
        <is>
          <t>CLAUDE.md 规则 7</t>
        </is>
      </c>
    </row>
    <row r="9" ht="29.85" customHeight="1" s="28">
      <c r="A9" s="45" t="inlineStr">
        <is>
          <t>2026-07-18</t>
        </is>
      </c>
      <c r="B9" s="46" t="inlineStr">
        <is>
          <t>数据模型 v1.0 拍板：16 张表；全表软删除/多角色/分表/统一中间表/文本部门/1536 维；migration 0001</t>
        </is>
      </c>
      <c r="C9" s="45" t="inlineStr">
        <is>
          <t>ERD 确认页 / 0001</t>
        </is>
      </c>
    </row>
    <row r="10" ht="29.85" customHeight="1" s="28">
      <c r="A10" s="45" t="inlineStr">
        <is>
          <t>2026-07-18</t>
        </is>
      </c>
      <c r="B10" s="45" t="inlineStr">
        <is>
          <t>LLM 接入：默认 Kimi 2.5（Moonshot，Anthropic 兼容端点），Agent 级 config.model 可调配；首版不上网关</t>
        </is>
      </c>
      <c r="C10" s="45" t="inlineStr">
        <is>
          <t>ADR-003 / PRD v1.05</t>
        </is>
      </c>
    </row>
    <row r="11" ht="29.85" customHeight="1" s="28">
      <c r="A11" s="45" t="inlineStr">
        <is>
          <t>2026-07-18</t>
        </is>
      </c>
      <c r="B11" s="45" t="inlineStr">
        <is>
          <t>MCP 治理：平台内全部 MCP 能力强制封装 Skill；清单按角色+部门过滤；两层结构；migration 0002</t>
        </is>
      </c>
      <c r="C11" s="45" t="inlineStr">
        <is>
          <t>ADR-004 / PRD v1.06</t>
        </is>
      </c>
    </row>
    <row r="12" ht="29.85" customHeight="1" s="28">
      <c r="A12" s="45" t="inlineStr">
        <is>
          <t>2026-07-18</t>
        </is>
      </c>
      <c r="B12" s="45" t="inlineStr">
        <is>
          <t>Vibe Coding 范围收缩为 AI Copilot（仅创建平台资产）：无需沙盒；服务器不部署 Claude Code；Code 节点禁用</t>
        </is>
      </c>
      <c r="C12" s="45" t="inlineStr">
        <is>
          <t>ADR-005 / PRD v1.07</t>
        </is>
      </c>
    </row>
    <row r="13" ht="29.85" customHeight="1" s="28">
      <c r="A13" s="45" t="inlineStr">
        <is>
          <t>2026-07-18</t>
        </is>
      </c>
      <c r="B13" s="46" t="inlineStr">
        <is>
          <t>办公文件处理三通道（高优先级）：上传下载/云盘 MCP 含企微微盘/浏览器直读写二期</t>
        </is>
      </c>
      <c r="C13" s="45" t="inlineStr">
        <is>
          <t>ADR-006 / PRD v1.08</t>
        </is>
      </c>
    </row>
    <row r="14" ht="29.85" customHeight="1" s="28">
      <c r="A14" s="45" t="inlineStr">
        <is>
          <t>2026-07-18</t>
        </is>
      </c>
      <c r="B14" s="45" t="inlineStr">
        <is>
          <t>Copilot 交互场景规范：意图识别跳转（右对话左画布）/画布下方澄清面板勾选回填/Dify DSL 硬约束</t>
        </is>
      </c>
      <c r="C14" s="45" t="inlineStr">
        <is>
          <t>ADR-005 交互协议 / PRD v1.09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2026-07-19T14:43:47Z</dcterms:created>
  <dcterms:modified xmlns:dcterms="http://purl.org/dc/terms/" xmlns:xsi="http://www.w3.org/2001/XMLSchema-instance" xsi:type="dcterms:W3CDTF">2026-07-19T16:32:41Z</dcterms:modified>
  <cp:revision>0</cp:revision>
</cp:coreProperties>
</file>