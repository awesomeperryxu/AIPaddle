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仪表盘" sheetId="1" state="visible" r:id="rId3"/>
    <sheet name="任务清单" sheetId="2" state="visible" r:id="rId4"/>
    <sheet name="里程碑关口" sheetId="3" state="visible" r:id="rId5"/>
    <sheet name="批次与阶段说明" sheetId="4" state="visible" r:id="rId6"/>
    <sheet name="决策日志" sheetId="5" state="visible" r:id="rId7"/>
  </sheets>
  <definedNames>
    <definedName function="false" hidden="true" localSheetId="1" name="_xlnm._FilterDatabase" vbProcedure="false">任务清单!$A$1:$O$62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<sst xmlns="http://schemas.openxmlformats.org/spreadsheetml/2006/main" count="1054" uniqueCount="462">
  <si>
    <r>
      <rPr>
        <b val="true"/>
        <sz val="14"/>
        <color rgb="FF1F3864"/>
        <rFont val="Arial"/>
        <family val="0"/>
        <charset val="1"/>
      </rPr>
      <t xml:space="preserve">AIPaddle </t>
    </r>
    <r>
      <rPr>
        <b val="true"/>
        <sz val="14"/>
        <color rgb="FF1F3864"/>
        <rFont val="Noto Sans CJK SC"/>
        <family val="2"/>
      </rPr>
      <t xml:space="preserve">项目进度仪表盘</t>
    </r>
  </si>
  <si>
    <r>
      <rPr>
        <i val="true"/>
        <sz val="9"/>
        <color rgb="FF808080"/>
        <rFont val="Noto Sans CJK SC"/>
        <family val="2"/>
      </rPr>
      <t xml:space="preserve">数据日期：</t>
    </r>
    <r>
      <rPr>
        <i val="true"/>
        <sz val="9"/>
        <color rgb="FF808080"/>
        <rFont val="Arial"/>
        <family val="0"/>
        <charset val="1"/>
      </rPr>
      <t xml:space="preserve">2026-07-19</t>
    </r>
    <r>
      <rPr>
        <i val="true"/>
        <sz val="9"/>
        <color rgb="FF808080"/>
        <rFont val="Noto Sans CJK SC"/>
        <family val="2"/>
      </rPr>
      <t xml:space="preserve">　</t>
    </r>
    <r>
      <rPr>
        <i val="true"/>
        <sz val="9"/>
        <color rgb="FF808080"/>
        <rFont val="Arial"/>
        <family val="0"/>
        <charset val="1"/>
      </rPr>
      <t xml:space="preserve">|</t>
    </r>
    <r>
      <rPr>
        <i val="true"/>
        <sz val="9"/>
        <color rgb="FF808080"/>
        <rFont val="Noto Sans CJK SC"/>
        <family val="2"/>
      </rPr>
      <t xml:space="preserve">　固定路径：</t>
    </r>
    <r>
      <rPr>
        <i val="true"/>
        <sz val="9"/>
        <color rgb="FF808080"/>
        <rFont val="Arial"/>
        <family val="0"/>
        <charset val="1"/>
      </rPr>
      <t xml:space="preserve">docs/AIPaddle-</t>
    </r>
    <r>
      <rPr>
        <i val="true"/>
        <sz val="9"/>
        <color rgb="FF808080"/>
        <rFont val="Noto Sans CJK SC"/>
        <family val="2"/>
      </rPr>
      <t xml:space="preserve">项目进度管控</t>
    </r>
    <r>
      <rPr>
        <i val="true"/>
        <sz val="9"/>
        <color rgb="FF808080"/>
        <rFont val="Arial"/>
        <family val="0"/>
        <charset val="1"/>
      </rPr>
      <t xml:space="preserve">.xlsx</t>
    </r>
    <r>
      <rPr>
        <i val="true"/>
        <sz val="9"/>
        <color rgb="FF808080"/>
        <rFont val="Noto Sans CJK SC"/>
        <family val="2"/>
      </rPr>
      <t xml:space="preserve">（每次询问进度自动刷新覆盖）</t>
    </r>
  </si>
  <si>
    <t xml:space="preserve">一、整体进度</t>
  </si>
  <si>
    <t xml:space="preserve">二、按执行批次</t>
  </si>
  <si>
    <t xml:space="preserve">总任务数</t>
  </si>
  <si>
    <t xml:space="preserve">批次</t>
  </si>
  <si>
    <t xml:space="preserve">任务数</t>
  </si>
  <si>
    <t xml:space="preserve">已完成</t>
  </si>
  <si>
    <t xml:space="preserve">进行中</t>
  </si>
  <si>
    <t xml:space="preserve">完成率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</si>
  <si>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</si>
  <si>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1</t>
    </r>
  </si>
  <si>
    <t xml:space="preserve">未开始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</si>
  <si>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2</t>
    </r>
  </si>
  <si>
    <t xml:space="preserve">暂缓</t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</si>
  <si>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</si>
  <si>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</si>
  <si>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5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</si>
  <si>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</si>
  <si>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7</t>
    </r>
  </si>
  <si>
    <t xml:space="preserve">三、测试体系概览</t>
  </si>
  <si>
    <t xml:space="preserve">测试用例已编写（含骨架）</t>
  </si>
  <si>
    <t xml:space="preserve">测试已执行完成</t>
  </si>
  <si>
    <t xml:space="preserve">测试未执行</t>
  </si>
  <si>
    <t xml:space="preserve">用例设计库</t>
  </si>
  <si>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条（</t>
    </r>
    <r>
      <rPr>
        <sz val="10"/>
        <rFont val="Arial"/>
        <family val="0"/>
        <charset val="1"/>
      </rPr>
      <t xml:space="preserve">docs/test-cases/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</si>
  <si>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可执行用例</t>
    </r>
  </si>
  <si>
    <r>
      <rPr>
        <sz val="10"/>
        <rFont val="Noto Sans CJK SC"/>
        <family val="2"/>
      </rPr>
      <t xml:space="preserve">冒烟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条可跑 </t>
    </r>
    <r>
      <rPr>
        <sz val="10"/>
        <rFont val="Arial"/>
        <family val="0"/>
        <charset val="1"/>
      </rPr>
      <t xml:space="preserve">+ S0-S5 </t>
    </r>
    <r>
      <rPr>
        <sz val="10"/>
        <rFont val="Noto Sans CJK SC"/>
        <family val="2"/>
      </rPr>
      <t xml:space="preserve">阶段门控 </t>
    </r>
    <r>
      <rPr>
        <sz val="10"/>
        <rFont val="Arial"/>
        <family val="0"/>
        <charset val="1"/>
      </rPr>
      <t xml:space="preserve">41 </t>
    </r>
    <r>
      <rPr>
        <sz val="10"/>
        <rFont val="Noto Sans CJK SC"/>
        <family val="2"/>
      </rPr>
      <t xml:space="preserve">条</t>
    </r>
  </si>
  <si>
    <t xml:space="preserve">四、当前焦点与风险</t>
  </si>
  <si>
    <t xml:space="preserve">五、字段含义（四列各答一个问题，互不重叠）</t>
  </si>
  <si>
    <r>
      <rPr>
        <sz val="10"/>
        <rFont val="Noto Sans CJK SC"/>
        <family val="2"/>
      </rPr>
      <t xml:space="preserve">优先级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有多重要：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失败即阻塞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安全红线，</t>
    </r>
    <r>
      <rPr>
        <sz val="10"/>
        <rFont val="Arial"/>
        <family val="0"/>
        <charset val="1"/>
      </rPr>
      <t xml:space="preserve">P1 </t>
    </r>
    <r>
      <rPr>
        <sz val="10"/>
        <rFont val="Noto Sans CJK SC"/>
        <family val="2"/>
      </rPr>
      <t xml:space="preserve">核心功能，</t>
    </r>
    <r>
      <rPr>
        <sz val="10"/>
        <rFont val="Arial"/>
        <family val="0"/>
        <charset val="1"/>
      </rPr>
      <t xml:space="preserve">P2 </t>
    </r>
    <r>
      <rPr>
        <sz val="10"/>
        <rFont val="Noto Sans CJK SC"/>
        <family val="2"/>
      </rPr>
      <t xml:space="preserve">优化——与先后顺序无关</t>
    </r>
  </si>
  <si>
    <r>
      <rPr>
        <sz val="10"/>
        <rFont val="Noto Sans CJK SC"/>
        <family val="2"/>
      </rPr>
      <t xml:space="preserve">所属阶段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属于哪个功能领域：工程基础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产品定义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架构设计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地基</t>
    </r>
    <r>
      <rPr>
        <sz val="10"/>
        <rFont val="Arial"/>
        <family val="0"/>
        <charset val="1"/>
      </rPr>
      <t xml:space="preserve">/Agent/</t>
    </r>
    <r>
      <rPr>
        <sz val="10"/>
        <rFont val="Noto Sans CJK SC"/>
        <family val="2"/>
      </rPr>
      <t xml:space="preserve">知识库</t>
    </r>
    <r>
      <rPr>
        <sz val="10"/>
        <rFont val="Arial"/>
        <family val="0"/>
        <charset val="1"/>
      </rPr>
      <t xml:space="preserve">/Skill·MCP/</t>
    </r>
    <r>
      <rPr>
        <sz val="10"/>
        <rFont val="Noto Sans CJK SC"/>
        <family val="2"/>
      </rPr>
      <t xml:space="preserve">工作流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成员租户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用户验证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平台化——是归属不是顺序</t>
    </r>
  </si>
  <si>
    <r>
      <rPr>
        <sz val="10"/>
        <rFont val="Noto Sans CJK SC"/>
        <family val="2"/>
      </rPr>
      <t xml:space="preserve">执行批次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排第几波做：批次</t>
    </r>
    <r>
      <rPr>
        <sz val="10"/>
        <rFont val="Arial"/>
        <family val="0"/>
        <charset val="1"/>
      </rPr>
      <t xml:space="preserve">0(</t>
    </r>
    <r>
      <rPr>
        <sz val="10"/>
        <rFont val="Noto Sans CJK SC"/>
        <family val="2"/>
      </rPr>
      <t xml:space="preserve">历史基线</t>
    </r>
    <r>
      <rPr>
        <sz val="10"/>
        <rFont val="Arial"/>
        <family val="0"/>
        <charset val="1"/>
      </rPr>
      <t xml:space="preserve">)→</t>
    </r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按依赖排序，批次间设质量关口——纯时序，与阶段不完全重合</t>
    </r>
  </si>
  <si>
    <r>
      <rPr>
        <sz val="10"/>
        <rFont val="Noto Sans CJK SC"/>
        <family val="2"/>
      </rPr>
      <t xml:space="preserve">状态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现在做到哪：未开始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进行中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已完成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暂缓——唯一表达进展的列</t>
    </r>
  </si>
  <si>
    <r>
      <rPr>
        <sz val="10"/>
        <rFont val="Noto Sans CJK SC"/>
        <family val="2"/>
      </rPr>
      <t xml:space="preserve">▶ 当前焦点（批次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收尾）：① 注册 </t>
    </r>
    <r>
      <rPr>
        <sz val="10"/>
        <rFont val="Arial"/>
        <family val="0"/>
        <charset val="1"/>
      </rPr>
      <t xml:space="preserve">Supabase + db push </t>
    </r>
    <r>
      <rPr>
        <sz val="10"/>
        <rFont val="Noto Sans CJK SC"/>
        <family val="2"/>
      </rPr>
      <t xml:space="preserve">应用 </t>
    </r>
    <r>
      <rPr>
        <sz val="10"/>
        <rFont val="Arial"/>
        <family val="0"/>
        <charset val="1"/>
      </rPr>
      <t xml:space="preserve">0001/0002</t>
    </r>
    <r>
      <rPr>
        <sz val="10"/>
        <rFont val="Noto Sans CJK SC"/>
        <family val="2"/>
      </rPr>
      <t xml:space="preserve">（唯一硬阻塞）② 首次 </t>
    </r>
    <r>
      <rPr>
        <sz val="10"/>
        <rFont val="Arial"/>
        <family val="0"/>
        <charset val="1"/>
      </rPr>
      <t xml:space="preserve">push + CI </t>
    </r>
    <r>
      <rPr>
        <sz val="10"/>
        <rFont val="Noto Sans CJK SC"/>
        <family val="2"/>
      </rPr>
      <t xml:space="preserve">首跑 ③ 手动跑 </t>
    </r>
    <r>
      <rPr>
        <sz val="10"/>
        <rFont val="Arial"/>
        <family val="0"/>
        <charset val="1"/>
      </rPr>
      <t xml:space="preserve">TC-00 ④ ADR-002 </t>
    </r>
    <r>
      <rPr>
        <sz val="10"/>
        <rFont val="Noto Sans CJK SC"/>
        <family val="2"/>
      </rPr>
      <t xml:space="preserve">租户上下文与权限矩阵（阶段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仅剩此项</t>
    </r>
    <r>
      <rPr>
        <sz val="10"/>
        <rFont val="Arial"/>
        <family val="0"/>
        <charset val="1"/>
      </rPr>
      <t xml:space="preserve">+2.5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</si>
  <si>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⚠ 阻塞风险：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未注册 → 切片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全部无法开工；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未安装 → 冒烟无法自动化</t>
    </r>
  </si>
  <si>
    <r>
      <rPr>
        <sz val="10"/>
        <rFont val="Noto Sans CJK SC"/>
        <family val="2"/>
      </rPr>
      <t xml:space="preserve">⚠ 质量红线：</t>
    </r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租户隔离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条任何一条失败即全线停工修复</t>
    </r>
  </si>
  <si>
    <r>
      <rPr>
        <sz val="10"/>
        <rFont val="Noto Sans CJK SC"/>
        <family val="2"/>
      </rPr>
      <t xml:space="preserve">✅ 架构决策已闭环：</t>
    </r>
    <r>
      <rPr>
        <sz val="10"/>
        <rFont val="Arial"/>
        <family val="0"/>
        <charset val="1"/>
      </rPr>
      <t xml:space="preserve">ADR-001~006 </t>
    </r>
    <r>
      <rPr>
        <sz val="10"/>
        <rFont val="Noto Sans CJK SC"/>
        <family val="2"/>
      </rPr>
      <t xml:space="preserve">全部拍板（数据模型</t>
    </r>
    <r>
      <rPr>
        <sz val="10"/>
        <rFont val="Arial"/>
        <family val="0"/>
        <charset val="1"/>
      </rPr>
      <t xml:space="preserve">/LLM/MCP </t>
    </r>
    <r>
      <rPr>
        <sz val="10"/>
        <rFont val="Noto Sans CJK SC"/>
        <family val="2"/>
      </rPr>
      <t xml:space="preserve">治理</t>
    </r>
    <r>
      <rPr>
        <sz val="10"/>
        <rFont val="Arial"/>
        <family val="0"/>
        <charset val="1"/>
      </rPr>
      <t xml:space="preserve">/Copilot/</t>
    </r>
    <r>
      <rPr>
        <sz val="10"/>
        <rFont val="Noto Sans CJK SC"/>
        <family val="2"/>
      </rPr>
      <t xml:space="preserve">办公文件）；</t>
    </r>
    <r>
      <rPr>
        <sz val="10"/>
        <rFont val="Arial"/>
        <family val="0"/>
        <charset val="1"/>
      </rPr>
      <t xml:space="preserve">PRD </t>
    </r>
    <r>
      <rPr>
        <sz val="10"/>
        <rFont val="Noto Sans CJK SC"/>
        <family val="2"/>
      </rPr>
      <t xml:space="preserve">已迭代至 </t>
    </r>
    <r>
      <rPr>
        <sz val="10"/>
        <rFont val="Arial"/>
        <family val="0"/>
        <charset val="1"/>
      </rPr>
      <t xml:space="preserve">v1.09</t>
    </r>
  </si>
  <si>
    <r>
      <rPr>
        <sz val="10"/>
        <rFont val="Noto Sans CJK SC"/>
        <family val="2"/>
      </rPr>
      <t xml:space="preserve">ℹ 遗留决策：嵌入模型选型（切片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前）；员工 </t>
    </r>
    <r>
      <rPr>
        <sz val="10"/>
        <rFont val="Arial"/>
        <family val="0"/>
        <charset val="1"/>
      </rPr>
      <t xml:space="preserve">Coding Plan </t>
    </r>
    <r>
      <rPr>
        <sz val="10"/>
        <rFont val="Noto Sans CJK SC"/>
        <family val="2"/>
      </rPr>
      <t xml:space="preserve">选型（试用后定）</t>
    </r>
  </si>
  <si>
    <t xml:space="preserve">任务编号</t>
  </si>
  <si>
    <t xml:space="preserve">执行批次</t>
  </si>
  <si>
    <t xml:space="preserve">所属阶段</t>
  </si>
  <si>
    <t xml:space="preserve">任务类别</t>
  </si>
  <si>
    <t xml:space="preserve">任务内容</t>
  </si>
  <si>
    <t xml:space="preserve">优先级</t>
  </si>
  <si>
    <t xml:space="preserve">状态</t>
  </si>
  <si>
    <t xml:space="preserve">执行主体</t>
  </si>
  <si>
    <t xml:space="preserve">依赖任务</t>
  </si>
  <si>
    <t xml:space="preserve">验收标准（检测）</t>
  </si>
  <si>
    <t xml:space="preserve">对应测试类型</t>
  </si>
  <si>
    <t xml:space="preserve">测试用例状态</t>
  </si>
  <si>
    <t xml:space="preserve">测试执行状态</t>
  </si>
  <si>
    <r>
      <rPr>
        <b val="true"/>
        <sz val="10"/>
        <color rgb="FFFFFFFF"/>
        <rFont val="Noto Sans CJK SC"/>
        <family val="2"/>
      </rPr>
      <t xml:space="preserve">关联用例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文档</t>
    </r>
  </si>
  <si>
    <r>
      <rPr>
        <b val="true"/>
        <sz val="10"/>
        <color rgb="FFFFFFFF"/>
        <rFont val="Noto Sans CJK SC"/>
        <family val="2"/>
      </rPr>
      <t xml:space="preserve">备注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风险</t>
    </r>
  </si>
  <si>
    <t xml:space="preserve">0.1</t>
  </si>
  <si>
    <t xml:space="preserve">工程基础</t>
  </si>
  <si>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仓库与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托管</t>
    </r>
  </si>
  <si>
    <t xml:space="preserve">P0</t>
  </si>
  <si>
    <t xml:space="preserve">用户</t>
  </si>
  <si>
    <t xml:space="preserve">—</t>
  </si>
  <si>
    <t xml:space="preserve">仓库可访问</t>
  </si>
  <si>
    <t xml:space="preserve">0.2</t>
  </si>
  <si>
    <r>
      <rPr>
        <sz val="10"/>
        <rFont val="Arial"/>
        <family val="0"/>
        <charset val="1"/>
      </rPr>
      <t xml:space="preserve">Next.js 16 + TS + Tailwind4 + shadcn/ui </t>
    </r>
    <r>
      <rPr>
        <sz val="10"/>
        <rFont val="Noto Sans CJK SC"/>
        <family val="2"/>
      </rPr>
      <t xml:space="preserve">脚手架</t>
    </r>
  </si>
  <si>
    <r>
      <rPr>
        <sz val="10"/>
        <rFont val="Arial"/>
        <family val="0"/>
        <charset val="1"/>
      </rPr>
      <t xml:space="preserve">pnpm dev </t>
    </r>
    <r>
      <rPr>
        <sz val="10"/>
        <rFont val="Noto Sans CJK SC"/>
        <family val="2"/>
      </rPr>
      <t xml:space="preserve">可跑</t>
    </r>
  </si>
  <si>
    <t xml:space="preserve">L1</t>
  </si>
  <si>
    <r>
      <rPr>
        <sz val="10"/>
        <rFont val="Arial"/>
        <family val="0"/>
        <charset val="1"/>
      </rPr>
      <t xml:space="preserve">v0 </t>
    </r>
    <r>
      <rPr>
        <sz val="10"/>
        <rFont val="Noto Sans CJK SC"/>
        <family val="2"/>
      </rPr>
      <t xml:space="preserve">原型基础</t>
    </r>
  </si>
  <si>
    <t xml:space="preserve">0.3</t>
  </si>
  <si>
    <r>
      <rPr>
        <sz val="10"/>
        <rFont val="Noto Sans CJK SC"/>
        <family val="2"/>
      </rPr>
      <t xml:space="preserve">质量检查脚本 </t>
    </r>
    <r>
      <rPr>
        <sz val="10"/>
        <rFont val="Arial"/>
        <family val="0"/>
        <charset val="1"/>
      </rPr>
      <t xml:space="preserve">pnpm 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typecheck+lint+build</t>
    </r>
    <r>
      <rPr>
        <sz val="10"/>
        <rFont val="Noto Sans CJK SC"/>
        <family val="2"/>
      </rPr>
      <t xml:space="preserve">）</t>
    </r>
  </si>
  <si>
    <t xml:space="preserve">P1</t>
  </si>
  <si>
    <t xml:space="preserve">本地执行全绿</t>
  </si>
  <si>
    <t xml:space="preserve">1.1</t>
  </si>
  <si>
    <t xml:space="preserve">产品定义</t>
  </si>
  <si>
    <r>
      <rPr>
        <sz val="10"/>
        <rFont val="Arial"/>
        <family val="0"/>
        <charset val="1"/>
      </rPr>
      <t xml:space="preserve">PRD v1.04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大模块）</t>
    </r>
  </si>
  <si>
    <t xml:space="preserve">文档入库</t>
  </si>
  <si>
    <t xml:space="preserve">PRD_Core_v1.04.md</t>
  </si>
  <si>
    <t xml:space="preserve">1.2</t>
  </si>
  <si>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设计规范 </t>
    </r>
    <r>
      <rPr>
        <sz val="10"/>
        <rFont val="Arial"/>
        <family val="0"/>
        <charset val="1"/>
      </rPr>
      <t xml:space="preserve">v1.04</t>
    </r>
  </si>
  <si>
    <t xml:space="preserve">UI_Design_Spec_v1.04.md</t>
  </si>
  <si>
    <t xml:space="preserve">1.3</t>
  </si>
  <si>
    <t xml:space="preserve">实现审计（原型边界界定）</t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</si>
  <si>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+AI</t>
    </r>
  </si>
  <si>
    <t xml:space="preserve">边界清晰</t>
  </si>
  <si>
    <t xml:space="preserve">IMPLEMENTATION_AUDIT.md</t>
  </si>
  <si>
    <t xml:space="preserve">2.1</t>
  </si>
  <si>
    <t xml:space="preserve">架构设计</t>
  </si>
  <si>
    <r>
      <rPr>
        <sz val="10"/>
        <rFont val="Noto Sans CJK SC"/>
        <family val="2"/>
      </rPr>
      <t xml:space="preserve">后端形态选型：</t>
    </r>
    <r>
      <rPr>
        <sz val="10"/>
        <rFont val="Arial"/>
        <family val="0"/>
        <charset val="1"/>
      </rPr>
      <t xml:space="preserve">Next.js </t>
    </r>
    <r>
      <rPr>
        <sz val="10"/>
        <rFont val="Noto Sans CJK SC"/>
        <family val="2"/>
      </rPr>
      <t xml:space="preserve">单体 </t>
    </r>
    <r>
      <rPr>
        <sz val="10"/>
        <rFont val="Arial"/>
        <family val="0"/>
        <charset val="1"/>
      </rPr>
      <t xml:space="preserve">+ Supabase</t>
    </r>
  </si>
  <si>
    <t xml:space="preserve">用户拍板</t>
  </si>
  <si>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拍板</t>
    </r>
  </si>
  <si>
    <t xml:space="preserve">ADR-001</t>
  </si>
  <si>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决策</t>
    </r>
  </si>
  <si>
    <t xml:space="preserve">2.4</t>
  </si>
  <si>
    <r>
      <rPr>
        <sz val="10"/>
        <rFont val="Noto Sans CJK SC"/>
        <family val="2"/>
      </rPr>
      <t xml:space="preserve">数据模型 </t>
    </r>
    <r>
      <rPr>
        <sz val="10"/>
        <rFont val="Arial"/>
        <family val="0"/>
        <charset val="1"/>
      </rPr>
      <t xml:space="preserve">v1.0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张表 </t>
    </r>
    <r>
      <rPr>
        <sz val="10"/>
        <rFont val="Arial"/>
        <family val="0"/>
        <charset val="1"/>
      </rPr>
      <t xml:space="preserve">+ ERD </t>
    </r>
    <r>
      <rPr>
        <sz val="10"/>
        <rFont val="Noto Sans CJK SC"/>
        <family val="2"/>
      </rPr>
      <t xml:space="preserve">确认页（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项决策拍板）</t>
    </r>
    <r>
      <rPr>
        <sz val="10"/>
        <rFont val="Arial"/>
        <family val="0"/>
        <charset val="1"/>
      </rPr>
      <t xml:space="preserve">+ migration 0001</t>
    </r>
  </si>
  <si>
    <r>
      <rPr>
        <sz val="10"/>
        <rFont val="Noto Sans CJK SC"/>
        <family val="2"/>
      </rPr>
      <t xml:space="preserve">用户拍板</t>
    </r>
    <r>
      <rPr>
        <sz val="10"/>
        <rFont val="Arial"/>
        <family val="0"/>
        <charset val="1"/>
      </rPr>
      <t xml:space="preserve">+Claude Code</t>
    </r>
  </si>
  <si>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C1-C6 </t>
    </r>
    <r>
      <rPr>
        <sz val="10"/>
        <rFont val="Noto Sans CJK SC"/>
        <family val="2"/>
      </rPr>
      <t xml:space="preserve">拍板，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产出</t>
    </r>
  </si>
  <si>
    <t xml:space="preserve">L3</t>
  </si>
  <si>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/ 0001_initial_schema.sql</t>
    </r>
  </si>
  <si>
    <r>
      <rPr>
        <sz val="10"/>
        <rFont val="Noto Sans CJK SC"/>
        <family val="2"/>
      </rPr>
      <t xml:space="preserve">待应用到 </t>
    </r>
    <r>
      <rPr>
        <sz val="10"/>
        <rFont val="Arial"/>
        <family val="0"/>
        <charset val="1"/>
      </rPr>
      <t xml:space="preserve">Supabase</t>
    </r>
  </si>
  <si>
    <t xml:space="preserve">2.6</t>
  </si>
  <si>
    <r>
      <rPr>
        <sz val="10"/>
        <rFont val="Noto Sans CJK SC"/>
        <family val="2"/>
      </rPr>
      <t xml:space="preserve">轮子清单闭环：认证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存储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向量库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模型网关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支付</t>
    </r>
  </si>
  <si>
    <t xml:space="preserve">P2</t>
  </si>
  <si>
    <t xml:space="preserve">全部选型有记录</t>
  </si>
  <si>
    <t xml:space="preserve">ADR-001/003</t>
  </si>
  <si>
    <t xml:space="preserve">2.7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</si>
  <si>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接入：</t>
    </r>
    <r>
      <rPr>
        <sz val="10"/>
        <rFont val="Arial"/>
        <family val="0"/>
        <charset val="1"/>
      </rPr>
      <t xml:space="preserve">Kimi 2.5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级可调配</t>
    </r>
  </si>
  <si>
    <r>
      <rPr>
        <sz val="10"/>
        <rFont val="Arial"/>
        <family val="0"/>
        <charset val="1"/>
      </rPr>
      <t xml:space="preserve">ADR-003 </t>
    </r>
    <r>
      <rPr>
        <sz val="10"/>
        <rFont val="Noto Sans CJK SC"/>
        <family val="2"/>
      </rPr>
      <t xml:space="preserve">拍板</t>
    </r>
  </si>
  <si>
    <t xml:space="preserve">ADR-003</t>
  </si>
  <si>
    <r>
      <rPr>
        <sz val="10"/>
        <rFont val="Noto Sans CJK SC"/>
        <family val="2"/>
      </rPr>
      <t xml:space="preserve">遗留：嵌入模型切片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前锁定</t>
    </r>
  </si>
  <si>
    <t xml:space="preserve">2.8</t>
  </si>
  <si>
    <r>
      <rPr>
        <sz val="10"/>
        <rFont val="Arial"/>
        <family val="0"/>
        <charset val="1"/>
      </rPr>
      <t xml:space="preserve">Vibe Coding→AI Copilot </t>
    </r>
    <r>
      <rPr>
        <sz val="10"/>
        <rFont val="Noto Sans CJK SC"/>
        <family val="2"/>
      </rPr>
      <t xml:space="preserve">范围收缩：无沙盒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四道防线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交互协议（意图跳转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澄清面板</t>
    </r>
    <r>
      <rPr>
        <sz val="10"/>
        <rFont val="Arial"/>
        <family val="0"/>
        <charset val="1"/>
      </rPr>
      <t xml:space="preserve">+Dify </t>
    </r>
    <r>
      <rPr>
        <sz val="10"/>
        <rFont val="Noto Sans CJK SC"/>
        <family val="2"/>
      </rPr>
      <t xml:space="preserve">硬约束）</t>
    </r>
  </si>
  <si>
    <t xml:space="preserve">ADR-005 + PRD 2.11</t>
  </si>
  <si>
    <t xml:space="preserve">ADR-005 / PRD v1.09</t>
  </si>
  <si>
    <r>
      <rPr>
        <sz val="10"/>
        <rFont val="Arial"/>
        <family val="0"/>
        <charset val="1"/>
      </rPr>
      <t xml:space="preserve">CP-01~10 </t>
    </r>
    <r>
      <rPr>
        <sz val="10"/>
        <rFont val="Noto Sans CJK SC"/>
        <family val="2"/>
      </rPr>
      <t xml:space="preserve">用例就绪</t>
    </r>
  </si>
  <si>
    <t xml:space="preserve">M.1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</si>
  <si>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治理：两层结构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全量 </t>
    </r>
    <r>
      <rPr>
        <sz val="10"/>
        <rFont val="Arial"/>
        <family val="0"/>
        <charset val="1"/>
      </rPr>
      <t xml:space="preserve">Skill </t>
    </r>
    <r>
      <rPr>
        <sz val="10"/>
        <rFont val="Noto Sans CJK SC"/>
        <family val="2"/>
      </rPr>
      <t xml:space="preserve">封装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权限过滤 </t>
    </r>
    <r>
      <rPr>
        <sz val="10"/>
        <rFont val="Arial"/>
        <family val="0"/>
        <charset val="1"/>
      </rPr>
      <t xml:space="preserve">+ migration 0002</t>
    </r>
  </si>
  <si>
    <t xml:space="preserve">ADR-004 + PRD v1.06</t>
  </si>
  <si>
    <t xml:space="preserve">ADR-004 / 0002_mcp_servers.sql</t>
  </si>
  <si>
    <r>
      <rPr>
        <sz val="10"/>
        <rFont val="Arial"/>
        <family val="0"/>
        <charset val="1"/>
      </rPr>
      <t xml:space="preserve">S3-08~11 </t>
    </r>
    <r>
      <rPr>
        <sz val="10"/>
        <rFont val="Noto Sans CJK SC"/>
        <family val="2"/>
      </rPr>
      <t xml:space="preserve">用例就绪</t>
    </r>
  </si>
  <si>
    <t xml:space="preserve">M.2</t>
  </si>
  <si>
    <t xml:space="preserve">办公文件处理三通道（高优先级基础能力，含企微微盘）</t>
  </si>
  <si>
    <t xml:space="preserve">ADR-006 + PRD v1.08</t>
  </si>
  <si>
    <t xml:space="preserve">ADR-006</t>
  </si>
  <si>
    <r>
      <rPr>
        <sz val="10"/>
        <rFont val="Arial"/>
        <family val="0"/>
        <charset val="1"/>
      </rPr>
      <t xml:space="preserve">DOC-01~06 </t>
    </r>
    <r>
      <rPr>
        <sz val="10"/>
        <rFont val="Noto Sans CJK SC"/>
        <family val="2"/>
      </rPr>
      <t xml:space="preserve">用例就绪</t>
    </r>
  </si>
  <si>
    <t xml:space="preserve">0.4</t>
  </si>
  <si>
    <t xml:space="preserve">项目管控</t>
  </si>
  <si>
    <r>
      <rPr>
        <sz val="10"/>
        <rFont val="Arial"/>
        <family val="0"/>
        <charset val="1"/>
      </rPr>
      <t xml:space="preserve">CLAUDE.md </t>
    </r>
    <r>
      <rPr>
        <sz val="10"/>
        <rFont val="Noto Sans CJK SC"/>
        <family val="2"/>
      </rPr>
      <t xml:space="preserve">主控文件入库</t>
    </r>
  </si>
  <si>
    <t xml:space="preserve">Claude Code</t>
  </si>
  <si>
    <t xml:space="preserve">规则生效</t>
  </si>
  <si>
    <t xml:space="preserve">CLAUDE.md</t>
  </si>
  <si>
    <r>
      <rPr>
        <sz val="10"/>
        <rFont val="Noto Sans CJK SC"/>
        <family val="2"/>
      </rPr>
      <t xml:space="preserve">含工作流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</t>
    </r>
  </si>
  <si>
    <t xml:space="preserve">0.5</t>
  </si>
  <si>
    <r>
      <rPr>
        <sz val="10"/>
        <rFont val="Arial"/>
        <family val="0"/>
        <charset val="1"/>
      </rPr>
      <t xml:space="preserve">ROADMAP.md </t>
    </r>
    <r>
      <rPr>
        <sz val="10"/>
        <rFont val="Noto Sans CJK SC"/>
        <family val="2"/>
      </rPr>
      <t xml:space="preserve">任务清单入库</t>
    </r>
  </si>
  <si>
    <t xml:space="preserve">状态可追踪</t>
  </si>
  <si>
    <t xml:space="preserve">ROADMAP.md</t>
  </si>
  <si>
    <t xml:space="preserve">T.1</t>
  </si>
  <si>
    <t xml:space="preserve">测试体系</t>
  </si>
  <si>
    <r>
      <rPr>
        <sz val="10"/>
        <rFont val="Noto Sans CJK SC"/>
        <family val="2"/>
      </rPr>
      <t xml:space="preserve">测试策略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自动执行协议两份文档</t>
    </r>
  </si>
  <si>
    <t xml:space="preserve">全部</t>
  </si>
  <si>
    <t xml:space="preserve">TESTING.md / TESTING_WORKFLOW.md</t>
  </si>
  <si>
    <t xml:space="preserve">T.2</t>
  </si>
  <si>
    <r>
      <rPr>
        <sz val="10"/>
        <rFont val="Noto Sans CJK SC"/>
        <family val="2"/>
      </rPr>
      <t xml:space="preserve">测试用例库 </t>
    </r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条（映射到任务节点）</t>
    </r>
  </si>
  <si>
    <r>
      <rPr>
        <sz val="10"/>
        <rFont val="Noto Sans CJK SC"/>
        <family val="2"/>
      </rPr>
      <t xml:space="preserve">用例可挂 </t>
    </r>
    <r>
      <rPr>
        <sz val="10"/>
        <rFont val="Arial"/>
        <family val="0"/>
        <charset val="1"/>
      </rPr>
      <t xml:space="preserve">Issue</t>
    </r>
  </si>
  <si>
    <t xml:space="preserve">docs/test-cases/</t>
  </si>
  <si>
    <t xml:space="preserve">T.3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</si>
  <si>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可执行套件（冒烟 </t>
    </r>
    <r>
      <rPr>
        <sz val="10"/>
        <rFont val="Arial"/>
        <family val="0"/>
        <charset val="1"/>
      </rPr>
      <t xml:space="preserve">+ S0-S5 </t>
    </r>
    <r>
      <rPr>
        <sz val="10"/>
        <rFont val="Noto Sans CJK SC"/>
        <family val="2"/>
      </rPr>
      <t xml:space="preserve">阶段门控）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测试数据契约</t>
    </r>
  </si>
  <si>
    <t xml:space="preserve">代码入库</t>
  </si>
  <si>
    <t xml:space="preserve">L4</t>
  </si>
  <si>
    <t xml:space="preserve">未执行</t>
  </si>
  <si>
    <t xml:space="preserve">tests/e2e/</t>
  </si>
  <si>
    <r>
      <rPr>
        <sz val="10"/>
        <rFont val="Noto Sans CJK SC"/>
        <family val="2"/>
      </rPr>
      <t xml:space="preserve">待装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首跑</t>
    </r>
  </si>
  <si>
    <t xml:space="preserve">0.6a</t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</si>
  <si>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建标签体系并把批次</t>
    </r>
    <r>
      <rPr>
        <sz val="10"/>
        <rFont val="Arial"/>
        <family val="0"/>
        <charset val="1"/>
      </rPr>
      <t xml:space="preserve">1-2</t>
    </r>
    <r>
      <rPr>
        <sz val="10"/>
        <rFont val="Noto Sans CJK SC"/>
        <family val="2"/>
      </rPr>
      <t xml:space="preserve">任务批量建 </t>
    </r>
    <r>
      <rPr>
        <sz val="10"/>
        <rFont val="Arial"/>
        <family val="0"/>
        <charset val="1"/>
      </rPr>
      <t xml:space="preserve">Issue</t>
    </r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</si>
  <si>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+Claude Code</t>
    </r>
  </si>
  <si>
    <r>
      <rPr>
        <sz val="10"/>
        <rFont val="Arial"/>
        <family val="0"/>
        <charset val="1"/>
      </rPr>
      <t xml:space="preserve">gh issue list </t>
    </r>
    <r>
      <rPr>
        <sz val="10"/>
        <rFont val="Noto Sans CJK SC"/>
        <family val="2"/>
      </rPr>
      <t xml:space="preserve">可见</t>
    </r>
  </si>
  <si>
    <t xml:space="preserve">TESTING_WORKFLOW §1</t>
  </si>
  <si>
    <t xml:space="preserve">模板已入库</t>
  </si>
  <si>
    <t xml:space="preserve">0.6b</t>
  </si>
  <si>
    <r>
      <rPr>
        <sz val="10"/>
        <rFont val="Noto Sans CJK SC"/>
        <family val="2"/>
      </rPr>
      <t xml:space="preserve">首次 </t>
    </r>
    <r>
      <rPr>
        <sz val="10"/>
        <rFont val="Arial"/>
        <family val="0"/>
        <charset val="1"/>
      </rPr>
      <t xml:space="preserve">push</t>
    </r>
    <r>
      <rPr>
        <sz val="10"/>
        <rFont val="Noto Sans CJK SC"/>
        <family val="2"/>
      </rPr>
      <t xml:space="preserve">：主控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测试</t>
    </r>
    <r>
      <rPr>
        <sz val="10"/>
        <rFont val="Arial"/>
        <family val="0"/>
        <charset val="1"/>
      </rPr>
      <t xml:space="preserve">/CI </t>
    </r>
    <r>
      <rPr>
        <sz val="10"/>
        <rFont val="Noto Sans CJK SC"/>
        <family val="2"/>
      </rPr>
      <t xml:space="preserve">文件入远程仓库，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首跑绿灯</t>
    </r>
  </si>
  <si>
    <r>
      <rPr>
        <sz val="10"/>
        <rFont val="Arial"/>
        <family val="0"/>
        <charset val="1"/>
      </rPr>
      <t xml:space="preserve">Actions </t>
    </r>
    <r>
      <rPr>
        <sz val="10"/>
        <rFont val="Noto Sans CJK SC"/>
        <family val="2"/>
      </rPr>
      <t xml:space="preserve">绿灯</t>
    </r>
  </si>
  <si>
    <t xml:space="preserve">ci.yml</t>
  </si>
  <si>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.github </t>
    </r>
    <r>
      <rPr>
        <sz val="10"/>
        <rFont val="Noto Sans CJK SC"/>
        <family val="2"/>
      </rPr>
      <t xml:space="preserve">两文件</t>
    </r>
  </si>
  <si>
    <t xml:space="preserve">0.9a</t>
  </si>
  <si>
    <t xml:space="preserve">测试基建</t>
  </si>
  <si>
    <r>
      <rPr>
        <sz val="10"/>
        <rFont val="Noto Sans CJK SC"/>
        <family val="2"/>
      </rPr>
      <t xml:space="preserve">安装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并首跑原型冒烟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条</t>
    </r>
  </si>
  <si>
    <r>
      <rPr>
        <sz val="10"/>
        <rFont val="Noto Sans CJK SC"/>
        <family val="2"/>
      </rPr>
      <t xml:space="preserve">冒烟全绿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记录失败项</t>
    </r>
  </si>
  <si>
    <t xml:space="preserve">smoke.spec.ts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</si>
  <si>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条命令见对话</t>
    </r>
  </si>
  <si>
    <t xml:space="preserve">0.9b</t>
  </si>
  <si>
    <r>
      <rPr>
        <sz val="10"/>
        <rFont val="Noto Sans CJK SC"/>
        <family val="2"/>
      </rPr>
      <t xml:space="preserve">安装 </t>
    </r>
    <r>
      <rPr>
        <sz val="10"/>
        <rFont val="Arial"/>
        <family val="0"/>
        <charset val="1"/>
      </rPr>
      <t xml:space="preserve">Vitest + RTL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pnpm test </t>
    </r>
    <r>
      <rPr>
        <sz val="10"/>
        <rFont val="Noto Sans CJK SC"/>
        <family val="2"/>
      </rPr>
      <t xml:space="preserve">可用，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启用测试步骤</t>
    </r>
  </si>
  <si>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含测试且绿</t>
    </r>
  </si>
  <si>
    <t xml:space="preserve">L2</t>
  </si>
  <si>
    <r>
      <rPr>
        <sz val="10"/>
        <rFont val="Arial"/>
        <family val="0"/>
        <charset val="1"/>
      </rPr>
      <t xml:space="preserve">ci.yml </t>
    </r>
    <r>
      <rPr>
        <sz val="10"/>
        <rFont val="Noto Sans CJK SC"/>
        <family val="2"/>
      </rPr>
      <t xml:space="preserve">注释段</t>
    </r>
  </si>
  <si>
    <t xml:space="preserve">0.9c</t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</si>
  <si>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开启 </t>
    </r>
    <r>
      <rPr>
        <sz val="10"/>
        <rFont val="Arial"/>
        <family val="0"/>
        <charset val="1"/>
      </rPr>
      <t xml:space="preserve">main </t>
    </r>
    <r>
      <rPr>
        <sz val="10"/>
        <rFont val="Noto Sans CJK SC"/>
        <family val="2"/>
      </rPr>
      <t xml:space="preserve">分支保护（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绿灯才可合并）</t>
    </r>
  </si>
  <si>
    <t xml:space="preserve">设置生效</t>
  </si>
  <si>
    <t xml:space="preserve">P.1</t>
  </si>
  <si>
    <t xml:space="preserve">原型验证</t>
  </si>
  <si>
    <r>
      <rPr>
        <sz val="10"/>
        <rFont val="Noto Sans CJK SC"/>
        <family val="2"/>
      </rPr>
      <t xml:space="preserve">手动执行 </t>
    </r>
    <r>
      <rPr>
        <sz val="10"/>
        <rFont val="Arial"/>
        <family val="0"/>
        <charset val="1"/>
      </rPr>
      <t xml:space="preserve">TC-00 </t>
    </r>
    <r>
      <rPr>
        <sz val="10"/>
        <rFont val="Noto Sans CJK SC"/>
        <family val="2"/>
      </rPr>
      <t xml:space="preserve">原型用例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条，产出按钮盘点清单</t>
    </r>
  </si>
  <si>
    <r>
      <rPr>
        <sz val="10"/>
        <rFont val="Noto Sans CJK SC"/>
        <family val="2"/>
      </rPr>
      <t xml:space="preserve">逐条 ✅</t>
    </r>
    <r>
      <rPr>
        <sz val="10"/>
        <rFont val="Arial"/>
        <family val="0"/>
        <charset val="1"/>
      </rPr>
      <t xml:space="preserve">/❌ </t>
    </r>
    <r>
      <rPr>
        <sz val="10"/>
        <rFont val="Noto Sans CJK SC"/>
        <family val="2"/>
      </rPr>
      <t xml:space="preserve">记录</t>
    </r>
  </si>
  <si>
    <t xml:space="preserve">L4/L6</t>
  </si>
  <si>
    <r>
      <rPr>
        <sz val="10"/>
        <rFont val="Arial"/>
        <family val="0"/>
        <charset val="1"/>
      </rPr>
      <t xml:space="preserve">TC-00 / E2E</t>
    </r>
    <r>
      <rPr>
        <sz val="10"/>
        <rFont val="Noto Sans CJK SC"/>
        <family val="2"/>
      </rPr>
      <t xml:space="preserve">流程</t>
    </r>
    <r>
      <rPr>
        <sz val="10"/>
        <rFont val="Arial"/>
        <family val="0"/>
        <charset val="1"/>
      </rPr>
      <t xml:space="preserve">Excel A</t>
    </r>
    <r>
      <rPr>
        <sz val="10"/>
        <rFont val="Noto Sans CJK SC"/>
        <family val="2"/>
      </rPr>
      <t xml:space="preserve">页</t>
    </r>
  </si>
  <si>
    <r>
      <rPr>
        <sz val="10"/>
        <rFont val="Noto Sans CJK SC"/>
        <family val="2"/>
      </rPr>
      <t xml:space="preserve">失败项建 </t>
    </r>
    <r>
      <rPr>
        <sz val="10"/>
        <rFont val="Arial"/>
        <family val="0"/>
        <charset val="1"/>
      </rPr>
      <t xml:space="preserve">Issue</t>
    </r>
  </si>
  <si>
    <t xml:space="preserve">2.2</t>
  </si>
  <si>
    <r>
      <rPr>
        <sz val="10"/>
        <rFont val="Noto Sans CJK SC"/>
        <family val="2"/>
      </rPr>
      <t xml:space="preserve">认证与多租户方案：租户上下文传递 </t>
    </r>
    <r>
      <rPr>
        <sz val="10"/>
        <rFont val="Arial"/>
        <family val="0"/>
        <charset val="1"/>
      </rPr>
      <t xml:space="preserve">+ RLS </t>
    </r>
    <r>
      <rPr>
        <sz val="10"/>
        <rFont val="Noto Sans CJK SC"/>
        <family val="2"/>
      </rPr>
      <t xml:space="preserve">策略（</t>
    </r>
    <r>
      <rPr>
        <sz val="10"/>
        <rFont val="Arial"/>
        <family val="0"/>
        <charset val="1"/>
      </rPr>
      <t xml:space="preserve">ADR-002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</si>
  <si>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Claude Code+</t>
    </r>
    <r>
      <rPr>
        <sz val="10"/>
        <rFont val="Noto Sans CJK SC"/>
        <family val="2"/>
      </rPr>
      <t xml:space="preserve">用户拍板</t>
    </r>
  </si>
  <si>
    <r>
      <rPr>
        <sz val="10"/>
        <rFont val="Arial"/>
        <family val="0"/>
        <charset val="1"/>
      </rPr>
      <t xml:space="preserve">ADR+</t>
    </r>
    <r>
      <rPr>
        <sz val="10"/>
        <rFont val="Noto Sans CJK SC"/>
        <family val="2"/>
      </rPr>
      <t xml:space="preserve">时序图可复述</t>
    </r>
  </si>
  <si>
    <r>
      <rPr>
        <sz val="10"/>
        <rFont val="Arial"/>
        <family val="0"/>
        <charset val="1"/>
      </rPr>
      <t xml:space="preserve">TC-S0 ISO </t>
    </r>
    <r>
      <rPr>
        <sz val="10"/>
        <rFont val="Noto Sans CJK SC"/>
        <family val="2"/>
      </rPr>
      <t xml:space="preserve">组</t>
    </r>
  </si>
  <si>
    <r>
      <rPr>
        <sz val="10"/>
        <rFont val="Noto Sans CJK SC"/>
        <family val="2"/>
      </rPr>
      <t xml:space="preserve">认证已定 </t>
    </r>
    <r>
      <rPr>
        <sz val="10"/>
        <rFont val="Arial"/>
        <family val="0"/>
        <charset val="1"/>
      </rPr>
      <t xml:space="preserve">Supabase Auth</t>
    </r>
  </si>
  <si>
    <t xml:space="preserve">2.3</t>
  </si>
  <si>
    <r>
      <rPr>
        <sz val="10"/>
        <rFont val="Noto Sans CJK SC"/>
        <family val="2"/>
      </rPr>
      <t xml:space="preserve">权限模型：角色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权限矩阵（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角色）</t>
    </r>
  </si>
  <si>
    <t xml:space="preserve">矩阵表拍板</t>
  </si>
  <si>
    <t xml:space="preserve">test-data ROLE_MATRIX</t>
  </si>
  <si>
    <t xml:space="preserve">用例先行</t>
  </si>
  <si>
    <t xml:space="preserve">2.5</t>
  </si>
  <si>
    <r>
      <rPr>
        <sz val="10"/>
        <rFont val="Noto Sans CJK SC"/>
        <family val="2"/>
      </rPr>
      <t xml:space="preserve">统一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客户端与数据层设计</t>
    </r>
  </si>
  <si>
    <r>
      <rPr>
        <sz val="10"/>
        <rFont val="Noto Sans CJK SC"/>
        <family val="2"/>
      </rPr>
      <t xml:space="preserve">约定入 </t>
    </r>
    <r>
      <rPr>
        <sz val="10"/>
        <rFont val="Arial"/>
        <family val="0"/>
        <charset val="1"/>
      </rPr>
      <t xml:space="preserve">CLAUDE.md</t>
    </r>
  </si>
  <si>
    <t xml:space="preserve">SUP</t>
  </si>
  <si>
    <t xml:space="preserve">环境准备</t>
  </si>
  <si>
    <r>
      <rPr>
        <sz val="10"/>
        <rFont val="Noto Sans CJK SC"/>
        <family val="2"/>
      </rPr>
      <t xml:space="preserve">注册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并建项目（区域：新加坡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东京）</t>
    </r>
  </si>
  <si>
    <r>
      <rPr>
        <sz val="10"/>
        <rFont val="Noto Sans CJK SC"/>
        <family val="2"/>
      </rPr>
      <t xml:space="preserve">拿到 </t>
    </r>
    <r>
      <rPr>
        <sz val="10"/>
        <rFont val="Arial"/>
        <family val="0"/>
        <charset val="1"/>
      </rPr>
      <t xml:space="preserve">URL+Key</t>
    </r>
  </si>
  <si>
    <r>
      <rPr>
        <sz val="10"/>
        <rFont val="Noto Sans CJK SC"/>
        <family val="2"/>
      </rPr>
      <t xml:space="preserve">阻塞切片</t>
    </r>
    <r>
      <rPr>
        <sz val="10"/>
        <rFont val="Arial"/>
        <family val="0"/>
        <charset val="1"/>
      </rPr>
      <t xml:space="preserve">0</t>
    </r>
  </si>
  <si>
    <t xml:space="preserve">3.1</t>
  </si>
  <si>
    <t xml:space="preserve">地基</t>
  </si>
  <si>
    <t xml:space="preserve">后端开发</t>
  </si>
  <si>
    <r>
      <rPr>
        <sz val="10"/>
        <rFont val="Noto Sans CJK SC"/>
        <family val="2"/>
      </rPr>
      <t xml:space="preserve">数据库就绪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核心表迁移 </t>
    </r>
    <r>
      <rPr>
        <sz val="10"/>
        <rFont val="Arial"/>
        <family val="0"/>
        <charset val="1"/>
      </rPr>
      <t xml:space="preserve">+ seed </t>
    </r>
    <r>
      <rPr>
        <sz val="10"/>
        <rFont val="Noto Sans CJK SC"/>
        <family val="2"/>
      </rPr>
      <t xml:space="preserve">脚本（两租户五账号）</t>
    </r>
  </si>
  <si>
    <t xml:space="preserve">2.4,SUP</t>
  </si>
  <si>
    <r>
      <rPr>
        <sz val="10"/>
        <rFont val="Noto Sans CJK SC"/>
        <family val="2"/>
      </rPr>
      <t xml:space="preserve">迁移可重放</t>
    </r>
    <r>
      <rPr>
        <sz val="10"/>
        <rFont val="Arial"/>
        <family val="0"/>
        <charset val="1"/>
      </rPr>
      <t xml:space="preserve">/seed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test-data </t>
    </r>
    <r>
      <rPr>
        <sz val="10"/>
        <rFont val="Noto Sans CJK SC"/>
        <family val="2"/>
      </rPr>
      <t xml:space="preserve">一致</t>
    </r>
  </si>
  <si>
    <t xml:space="preserve">S0-DB×3</t>
  </si>
  <si>
    <r>
      <rPr>
        <sz val="10"/>
        <rFont val="Arial"/>
        <family val="0"/>
        <charset val="1"/>
      </rPr>
      <t xml:space="preserve">seed=</t>
    </r>
    <r>
      <rPr>
        <sz val="10"/>
        <rFont val="Noto Sans CJK SC"/>
        <family val="2"/>
      </rPr>
      <t xml:space="preserve">测试数据契约</t>
    </r>
  </si>
  <si>
    <t xml:space="preserve">3.2</t>
  </si>
  <si>
    <r>
      <rPr>
        <sz val="10"/>
        <rFont val="Noto Sans CJK SC"/>
        <family val="2"/>
      </rPr>
      <t xml:space="preserve">注册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登录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退出（</t>
    </r>
    <r>
      <rPr>
        <sz val="10"/>
        <rFont val="Arial"/>
        <family val="0"/>
        <charset val="1"/>
      </rPr>
      <t xml:space="preserve">Supabase Auth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</si>
  <si>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S0-AUTH </t>
    </r>
    <r>
      <rPr>
        <sz val="10"/>
        <rFont val="Noto Sans CJK SC"/>
        <family val="2"/>
      </rPr>
      <t xml:space="preserve">全绿</t>
    </r>
  </si>
  <si>
    <t xml:space="preserve">L3/L4</t>
  </si>
  <si>
    <t xml:space="preserve">S0-AUTH×6</t>
  </si>
  <si>
    <t xml:space="preserve">3.3</t>
  </si>
  <si>
    <r>
      <rPr>
        <sz val="10"/>
        <rFont val="Noto Sans CJK SC"/>
        <family val="2"/>
      </rPr>
      <t xml:space="preserve">租户上下文中间件 </t>
    </r>
    <r>
      <rPr>
        <sz val="10"/>
        <rFont val="Arial"/>
        <family val="0"/>
        <charset val="1"/>
      </rPr>
      <t xml:space="preserve">+ RLS </t>
    </r>
    <r>
      <rPr>
        <sz val="10"/>
        <rFont val="Noto Sans CJK SC"/>
        <family val="2"/>
      </rPr>
      <t xml:space="preserve">隔离</t>
    </r>
  </si>
  <si>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专项全绿</t>
    </r>
  </si>
  <si>
    <t xml:space="preserve">L3/L5</t>
  </si>
  <si>
    <t xml:space="preserve">S0-CTX×3+S0-ISO×5</t>
  </si>
  <si>
    <r>
      <rPr>
        <sz val="10"/>
        <rFont val="Noto Sans CJK SC"/>
        <family val="2"/>
      </rPr>
      <t xml:space="preserve">失败</t>
    </r>
    <r>
      <rPr>
        <sz val="10"/>
        <rFont val="Arial"/>
        <family val="0"/>
        <charset val="1"/>
      </rPr>
      <t xml:space="preserve">=P0</t>
    </r>
    <r>
      <rPr>
        <sz val="10"/>
        <rFont val="Noto Sans CJK SC"/>
        <family val="2"/>
      </rPr>
      <t xml:space="preserve">停线</t>
    </r>
  </si>
  <si>
    <t xml:space="preserve">3.4</t>
  </si>
  <si>
    <r>
      <rPr>
        <sz val="10"/>
        <rFont val="Noto Sans CJK SC"/>
        <family val="2"/>
      </rPr>
      <t xml:space="preserve">权限校验中间件（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级）</t>
    </r>
  </si>
  <si>
    <r>
      <rPr>
        <sz val="10"/>
        <rFont val="Arial"/>
        <family val="0"/>
        <charset val="1"/>
      </rPr>
      <t xml:space="preserve">S0-PRM </t>
    </r>
    <r>
      <rPr>
        <sz val="10"/>
        <rFont val="Noto Sans CJK SC"/>
        <family val="2"/>
      </rPr>
      <t xml:space="preserve">全绿</t>
    </r>
  </si>
  <si>
    <t xml:space="preserve">L2/L3</t>
  </si>
  <si>
    <t xml:space="preserve">S0-PRM×4</t>
  </si>
  <si>
    <t xml:space="preserve">3.5</t>
  </si>
  <si>
    <t xml:space="preserve">前端开发</t>
  </si>
  <si>
    <r>
      <rPr>
        <sz val="10"/>
        <rFont val="Noto Sans CJK SC"/>
        <family val="2"/>
      </rPr>
      <t xml:space="preserve">统一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客户端 </t>
    </r>
    <r>
      <rPr>
        <sz val="10"/>
        <rFont val="Arial"/>
        <family val="0"/>
        <charset val="1"/>
      </rPr>
      <t xml:space="preserve">+ Dashboard </t>
    </r>
    <r>
      <rPr>
        <sz val="10"/>
        <rFont val="Noto Sans CJK SC"/>
        <family val="2"/>
      </rPr>
      <t xml:space="preserve">首页切真实数据</t>
    </r>
  </si>
  <si>
    <r>
      <rPr>
        <sz val="10"/>
        <rFont val="Arial"/>
        <family val="0"/>
        <charset val="1"/>
      </rPr>
      <t xml:space="preserve">S0-DAL </t>
    </r>
    <r>
      <rPr>
        <sz val="10"/>
        <rFont val="Noto Sans CJK SC"/>
        <family val="2"/>
      </rPr>
      <t xml:space="preserve">全绿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去 </t>
    </r>
    <r>
      <rPr>
        <sz val="10"/>
        <rFont val="Arial"/>
        <family val="0"/>
        <charset val="1"/>
      </rPr>
      <t xml:space="preserve">mock</t>
    </r>
  </si>
  <si>
    <t xml:space="preserve">S0-DAL×3</t>
  </si>
  <si>
    <t xml:space="preserve">0.7</t>
  </si>
  <si>
    <t xml:space="preserve">部署运维</t>
  </si>
  <si>
    <r>
      <rPr>
        <sz val="10"/>
        <rFont val="Noto Sans CJK SC"/>
        <family val="2"/>
      </rPr>
      <t xml:space="preserve">服务器部署链路（</t>
    </r>
    <r>
      <rPr>
        <sz val="10"/>
        <rFont val="Arial"/>
        <family val="0"/>
        <charset val="1"/>
      </rPr>
      <t xml:space="preserve">43.173.99.218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Node+PM2/Docker+Nginx</t>
    </r>
    <r>
      <rPr>
        <sz val="10"/>
        <rFont val="Noto Sans CJK SC"/>
        <family val="2"/>
      </rPr>
      <t xml:space="preserve">）</t>
    </r>
  </si>
  <si>
    <t xml:space="preserve">线上可注册登录</t>
  </si>
  <si>
    <t xml:space="preserve">S0-DEP×2</t>
  </si>
  <si>
    <t xml:space="preserve">0.8</t>
  </si>
  <si>
    <r>
      <rPr>
        <sz val="10"/>
        <rFont val="Arial"/>
        <family val="0"/>
        <charset val="1"/>
      </rPr>
      <t xml:space="preserve">GitHub Actions </t>
    </r>
    <r>
      <rPr>
        <sz val="10"/>
        <rFont val="Noto Sans CJK SC"/>
        <family val="2"/>
      </rPr>
      <t xml:space="preserve">自动部署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部署后冒烟</t>
    </r>
  </si>
  <si>
    <r>
      <rPr>
        <sz val="10"/>
        <rFont val="Arial"/>
        <family val="0"/>
        <charset val="1"/>
      </rPr>
      <t xml:space="preserve">push </t>
    </r>
    <r>
      <rPr>
        <sz val="10"/>
        <rFont val="Noto Sans CJK SC"/>
        <family val="2"/>
      </rPr>
      <t xml:space="preserve">即上线</t>
    </r>
  </si>
  <si>
    <t xml:space="preserve">3.7</t>
  </si>
  <si>
    <r>
      <rPr>
        <sz val="10"/>
        <rFont val="Noto Sans CJK SC"/>
        <family val="2"/>
      </rPr>
      <t xml:space="preserve">认证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权限首批自动化测试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隔离专项脚本 </t>
    </r>
    <r>
      <rPr>
        <sz val="10"/>
        <rFont val="Arial"/>
        <family val="0"/>
        <charset val="1"/>
      </rPr>
      <t xml:space="preserve">test:isolation</t>
    </r>
  </si>
  <si>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全绿</t>
    </r>
  </si>
  <si>
    <t xml:space="preserve">L2/L3/L5</t>
  </si>
  <si>
    <r>
      <rPr>
        <sz val="10"/>
        <rFont val="Arial"/>
        <family val="0"/>
        <charset val="1"/>
      </rPr>
      <t xml:space="preserve">TC-S0 </t>
    </r>
    <r>
      <rPr>
        <sz val="10"/>
        <rFont val="Noto Sans CJK SC"/>
        <family val="2"/>
      </rPr>
      <t xml:space="preserve">全部</t>
    </r>
  </si>
  <si>
    <t xml:space="preserve">G3</t>
  </si>
  <si>
    <t xml:space="preserve">里程碑</t>
  </si>
  <si>
    <r>
      <rPr>
        <sz val="10"/>
        <rFont val="Noto Sans CJK SC"/>
        <family val="2"/>
      </rPr>
      <t xml:space="preserve">检测关口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：租户隔离专项通过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线上空壳可用</t>
    </r>
  </si>
  <si>
    <t xml:space="preserve">用户验收</t>
  </si>
  <si>
    <t xml:space="preserve">3.3,0.7</t>
  </si>
  <si>
    <t xml:space="preserve">关口标准全过</t>
  </si>
  <si>
    <t xml:space="preserve">L5/L6</t>
  </si>
  <si>
    <t xml:space="preserve">E2E_STAGE→0</t>
  </si>
  <si>
    <r>
      <rPr>
        <sz val="10"/>
        <rFont val="Noto Sans CJK SC"/>
        <family val="2"/>
      </rPr>
      <t xml:space="preserve">过关才进批次</t>
    </r>
    <r>
      <rPr>
        <sz val="10"/>
        <rFont val="Arial"/>
        <family val="0"/>
        <charset val="1"/>
      </rPr>
      <t xml:space="preserve">3</t>
    </r>
  </si>
  <si>
    <t xml:space="preserve">4.1.1</t>
  </si>
  <si>
    <t xml:space="preserve">Agent</t>
  </si>
  <si>
    <r>
      <rPr>
        <sz val="10"/>
        <rFont val="Noto Sans CJK SC"/>
        <family val="2"/>
      </rPr>
      <t xml:space="preserve">后端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前端</t>
    </r>
  </si>
  <si>
    <r>
      <rPr>
        <sz val="10"/>
        <rFont val="Arial"/>
        <family val="0"/>
        <charset val="1"/>
      </rPr>
      <t xml:space="preserve">Agent CRUD API + </t>
    </r>
    <r>
      <rPr>
        <sz val="10"/>
        <rFont val="Noto Sans CJK SC"/>
        <family val="2"/>
      </rPr>
      <t xml:space="preserve">页面接通</t>
    </r>
  </si>
  <si>
    <r>
      <rPr>
        <sz val="10"/>
        <rFont val="Arial"/>
        <family val="0"/>
        <charset val="1"/>
      </rPr>
      <t xml:space="preserve">S1-CRUD </t>
    </r>
    <r>
      <rPr>
        <sz val="10"/>
        <rFont val="Noto Sans CJK SC"/>
        <family val="2"/>
      </rPr>
      <t xml:space="preserve">全绿</t>
    </r>
  </si>
  <si>
    <t xml:space="preserve">L2/L3/L4</t>
  </si>
  <si>
    <t xml:space="preserve">S1-CRUD×7</t>
  </si>
  <si>
    <t xml:space="preserve">4.1.2</t>
  </si>
  <si>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状态机（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态流转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非法拦截）</t>
    </r>
  </si>
  <si>
    <t xml:space="preserve">状态机矩阵全绿</t>
  </si>
  <si>
    <r>
      <rPr>
        <sz val="10"/>
        <rFont val="Arial"/>
        <family val="0"/>
        <charset val="1"/>
      </rPr>
      <t xml:space="preserve">S1-STM×4 / </t>
    </r>
    <r>
      <rPr>
        <sz val="10"/>
        <rFont val="Noto Sans CJK SC"/>
        <family val="2"/>
      </rPr>
      <t xml:space="preserve">矩阵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条</t>
    </r>
  </si>
  <si>
    <t xml:space="preserve">本切片最高风险</t>
  </si>
  <si>
    <t xml:space="preserve">4.1.3</t>
  </si>
  <si>
    <r>
      <rPr>
        <sz val="10"/>
        <rFont val="Noto Sans CJK SC"/>
        <family val="2"/>
      </rPr>
      <t xml:space="preserve">审核流程接入安全管理（审批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留痕）</t>
    </r>
  </si>
  <si>
    <r>
      <rPr>
        <sz val="10"/>
        <rFont val="Arial"/>
        <family val="0"/>
        <charset val="1"/>
      </rPr>
      <t xml:space="preserve">S1-REV </t>
    </r>
    <r>
      <rPr>
        <sz val="10"/>
        <rFont val="Noto Sans CJK SC"/>
        <family val="2"/>
      </rPr>
      <t xml:space="preserve">全绿</t>
    </r>
  </si>
  <si>
    <t xml:space="preserve">S1-REV×4</t>
  </si>
  <si>
    <t xml:space="preserve">4.1.4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</si>
  <si>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集成</t>
    </r>
  </si>
  <si>
    <t xml:space="preserve">数字员工接通真实大模型对话</t>
  </si>
  <si>
    <t xml:space="preserve">4.1.1,2.7</t>
  </si>
  <si>
    <r>
      <rPr>
        <sz val="10"/>
        <rFont val="Arial"/>
        <family val="0"/>
        <charset val="1"/>
      </rPr>
      <t xml:space="preserve">S1-CHAT </t>
    </r>
    <r>
      <rPr>
        <sz val="10"/>
        <rFont val="Noto Sans CJK SC"/>
        <family val="2"/>
      </rPr>
      <t xml:space="preserve">全绿</t>
    </r>
  </si>
  <si>
    <t xml:space="preserve">L3/L4/L5</t>
  </si>
  <si>
    <t xml:space="preserve">S1-CHAT×5</t>
  </si>
  <si>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只在服务端</t>
    </r>
  </si>
  <si>
    <t xml:space="preserve">4.1.5</t>
  </si>
  <si>
    <r>
      <rPr>
        <sz val="10"/>
        <rFont val="Noto Sans CJK SC"/>
        <family val="2"/>
      </rPr>
      <t xml:space="preserve">调用日志落库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指标展示</t>
    </r>
  </si>
  <si>
    <r>
      <rPr>
        <sz val="10"/>
        <rFont val="Arial"/>
        <family val="0"/>
        <charset val="1"/>
      </rPr>
      <t xml:space="preserve">S1-LOG </t>
    </r>
    <r>
      <rPr>
        <sz val="10"/>
        <rFont val="Noto Sans CJK SC"/>
        <family val="2"/>
      </rPr>
      <t xml:space="preserve">全绿</t>
    </r>
  </si>
  <si>
    <t xml:space="preserve">S1-LOG×3</t>
  </si>
  <si>
    <t xml:space="preserve">4.1.6</t>
  </si>
  <si>
    <t xml:space="preserve">AI Copilot</t>
  </si>
  <si>
    <r>
      <rPr>
        <sz val="10"/>
        <rFont val="Arial"/>
        <family val="0"/>
        <charset val="1"/>
      </rPr>
      <t xml:space="preserve">Agent Copilot </t>
    </r>
    <r>
      <rPr>
        <sz val="10"/>
        <rFont val="Noto Sans CJK SC"/>
        <family val="2"/>
      </rPr>
      <t xml:space="preserve">最简版（配置页侧栏，生成落 </t>
    </r>
    <r>
      <rPr>
        <sz val="10"/>
        <rFont val="Arial"/>
        <family val="0"/>
        <charset val="1"/>
      </rPr>
      <t xml:space="preserve">draft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</si>
  <si>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校验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不可发布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留审计</t>
    </r>
  </si>
  <si>
    <t xml:space="preserve">CP-01/02/05</t>
  </si>
  <si>
    <t xml:space="preserve">ADR-005</t>
  </si>
  <si>
    <t xml:space="preserve">G4a</t>
  </si>
  <si>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阶段验收：</t>
    </r>
    <r>
      <rPr>
        <sz val="10"/>
        <rFont val="Arial"/>
        <family val="0"/>
        <charset val="1"/>
      </rPr>
      <t xml:space="preserve">PRD 4.1 </t>
    </r>
    <r>
      <rPr>
        <sz val="10"/>
        <rFont val="Noto Sans CJK SC"/>
        <family val="2"/>
      </rPr>
      <t xml:space="preserve">全链路演示 </t>
    </r>
    <r>
      <rPr>
        <sz val="10"/>
        <rFont val="Arial"/>
        <family val="0"/>
        <charset val="1"/>
      </rPr>
      <t xml:space="preserve">+ Codex </t>
    </r>
    <r>
      <rPr>
        <sz val="10"/>
        <rFont val="Noto Sans CJK SC"/>
        <family val="2"/>
      </rPr>
      <t xml:space="preserve">交叉测试</t>
    </r>
  </si>
  <si>
    <r>
      <rPr>
        <sz val="10"/>
        <rFont val="Noto Sans CJK SC"/>
        <family val="2"/>
      </rPr>
      <t xml:space="preserve">用户</t>
    </r>
    <r>
      <rPr>
        <sz val="10"/>
        <rFont val="Arial"/>
        <family val="0"/>
        <charset val="1"/>
      </rPr>
      <t xml:space="preserve">+Codex</t>
    </r>
  </si>
  <si>
    <r>
      <rPr>
        <sz val="10"/>
        <rFont val="Arial"/>
        <family val="0"/>
        <charset val="1"/>
      </rPr>
      <t xml:space="preserve">S1-ACC </t>
    </r>
    <r>
      <rPr>
        <sz val="10"/>
        <rFont val="Noto Sans CJK SC"/>
        <family val="2"/>
      </rPr>
      <t xml:space="preserve">闭环</t>
    </r>
  </si>
  <si>
    <t xml:space="preserve">S1-ACC×3</t>
  </si>
  <si>
    <t xml:space="preserve">E2E_STAGE→1</t>
  </si>
  <si>
    <t xml:space="preserve">5.1</t>
  </si>
  <si>
    <t xml:space="preserve">用户验证</t>
  </si>
  <si>
    <t xml:space="preserve">用户测试</t>
  </si>
  <si>
    <r>
      <rPr>
        <sz val="10"/>
        <rFont val="Noto Sans CJK SC"/>
        <family val="2"/>
      </rPr>
      <t xml:space="preserve">种子用户名单（</t>
    </r>
    <r>
      <rPr>
        <sz val="10"/>
        <rFont val="Arial"/>
        <family val="0"/>
        <charset val="1"/>
      </rPr>
      <t xml:space="preserve">5-10 </t>
    </r>
    <r>
      <rPr>
        <sz val="10"/>
        <rFont val="Noto Sans CJK SC"/>
        <family val="2"/>
      </rPr>
      <t xml:space="preserve">个）</t>
    </r>
  </si>
  <si>
    <t xml:space="preserve">1.4</t>
  </si>
  <si>
    <t xml:space="preserve">名单确认</t>
  </si>
  <si>
    <t xml:space="preserve">L6</t>
  </si>
  <si>
    <t xml:space="preserve">可提前准备</t>
  </si>
  <si>
    <t xml:space="preserve">4.2.1</t>
  </si>
  <si>
    <t xml:space="preserve">知识库</t>
  </si>
  <si>
    <r>
      <rPr>
        <sz val="10"/>
        <rFont val="Noto Sans CJK SC"/>
        <family val="2"/>
      </rPr>
      <t xml:space="preserve">文档上传（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存储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删除</t>
    </r>
  </si>
  <si>
    <r>
      <rPr>
        <sz val="10"/>
        <rFont val="Arial"/>
        <family val="0"/>
        <charset val="1"/>
      </rPr>
      <t xml:space="preserve">S2-UPL </t>
    </r>
    <r>
      <rPr>
        <sz val="10"/>
        <rFont val="Noto Sans CJK SC"/>
        <family val="2"/>
      </rPr>
      <t xml:space="preserve">全绿</t>
    </r>
  </si>
  <si>
    <t xml:space="preserve">S2-UPL×5</t>
  </si>
  <si>
    <t xml:space="preserve">4.2.2</t>
  </si>
  <si>
    <r>
      <rPr>
        <sz val="10"/>
        <rFont val="Noto Sans CJK SC"/>
        <family val="2"/>
      </rPr>
      <t xml:space="preserve">解析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切块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向量化（</t>
    </r>
    <r>
      <rPr>
        <sz val="10"/>
        <rFont val="Arial"/>
        <family val="0"/>
        <charset val="1"/>
      </rPr>
      <t xml:space="preserve">pgvector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重新索引</t>
    </r>
  </si>
  <si>
    <r>
      <rPr>
        <sz val="10"/>
        <rFont val="Arial"/>
        <family val="0"/>
        <charset val="1"/>
      </rPr>
      <t xml:space="preserve">S2-IDX </t>
    </r>
    <r>
      <rPr>
        <sz val="10"/>
        <rFont val="Noto Sans CJK SC"/>
        <family val="2"/>
      </rPr>
      <t xml:space="preserve">全绿</t>
    </r>
  </si>
  <si>
    <t xml:space="preserve">S2-IDX×4</t>
  </si>
  <si>
    <t xml:space="preserve">4.2.3</t>
  </si>
  <si>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问答带引用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金标准评测脚本 </t>
    </r>
    <r>
      <rPr>
        <sz val="10"/>
        <rFont val="Arial"/>
        <family val="0"/>
        <charset val="1"/>
      </rPr>
      <t xml:space="preserve">test:rag-eval</t>
    </r>
  </si>
  <si>
    <r>
      <rPr>
        <sz val="10"/>
        <rFont val="Noto Sans CJK SC"/>
        <family val="2"/>
      </rPr>
      <t xml:space="preserve">命中率≥</t>
    </r>
    <r>
      <rPr>
        <sz val="10"/>
        <rFont val="Arial"/>
        <family val="0"/>
        <charset val="1"/>
      </rPr>
      <t xml:space="preserve">80% </t>
    </r>
    <r>
      <rPr>
        <sz val="10"/>
        <rFont val="Noto Sans CJK SC"/>
        <family val="2"/>
      </rPr>
      <t xml:space="preserve">引用≥</t>
    </r>
    <r>
      <rPr>
        <sz val="10"/>
        <rFont val="Arial"/>
        <family val="0"/>
        <charset val="1"/>
      </rPr>
      <t xml:space="preserve">90%</t>
    </r>
  </si>
  <si>
    <t xml:space="preserve">L4/L5</t>
  </si>
  <si>
    <t xml:space="preserve">S2-RAG×4+golden set</t>
  </si>
  <si>
    <t xml:space="preserve">固定语料脚本生成</t>
  </si>
  <si>
    <t xml:space="preserve">4.2.4</t>
  </si>
  <si>
    <t xml:space="preserve">办公文件</t>
  </si>
  <si>
    <r>
      <rPr>
        <sz val="10"/>
        <rFont val="Noto Sans CJK SC"/>
        <family val="2"/>
      </rPr>
      <t xml:space="preserve">文件处理通道①：上传→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处理→生成 </t>
    </r>
    <r>
      <rPr>
        <sz val="10"/>
        <rFont val="Arial"/>
        <family val="0"/>
        <charset val="1"/>
      </rPr>
      <t xml:space="preserve">docx/xlsx/pdf→</t>
    </r>
    <r>
      <rPr>
        <sz val="10"/>
        <rFont val="Noto Sans CJK SC"/>
        <family val="2"/>
      </rPr>
      <t xml:space="preserve">下载</t>
    </r>
  </si>
  <si>
    <r>
      <rPr>
        <sz val="10"/>
        <rFont val="Noto Sans CJK SC"/>
        <family val="2"/>
      </rPr>
      <t xml:space="preserve">三类样例正确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生成可打开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留审计</t>
    </r>
  </si>
  <si>
    <t xml:space="preserve">DOC-01/02/03/06</t>
  </si>
  <si>
    <r>
      <rPr>
        <sz val="10"/>
        <rFont val="Arial"/>
        <family val="0"/>
        <charset val="1"/>
      </rPr>
      <t xml:space="preserve">ADR-006 </t>
    </r>
    <r>
      <rPr>
        <sz val="10"/>
        <rFont val="Noto Sans CJK SC"/>
        <family val="2"/>
      </rPr>
      <t xml:space="preserve">高优先级</t>
    </r>
  </si>
  <si>
    <t xml:space="preserve">G4b</t>
  </si>
  <si>
    <r>
      <rPr>
        <sz val="10"/>
        <rFont val="Noto Sans CJK SC"/>
        <family val="2"/>
      </rPr>
      <t xml:space="preserve">知识库阶段验收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首轮真实用户测试（</t>
    </r>
    <r>
      <rPr>
        <sz val="10"/>
        <rFont val="Arial"/>
        <family val="0"/>
        <charset val="1"/>
      </rPr>
      <t xml:space="preserve">3-5 </t>
    </r>
    <r>
      <rPr>
        <sz val="10"/>
        <rFont val="Noto Sans CJK SC"/>
        <family val="2"/>
      </rPr>
      <t xml:space="preserve">人）</t>
    </r>
  </si>
  <si>
    <t xml:space="preserve">4.2.3,5.1</t>
  </si>
  <si>
    <r>
      <rPr>
        <sz val="10"/>
        <rFont val="Noto Sans CJK SC"/>
        <family val="2"/>
      </rPr>
      <t xml:space="preserve">验收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观察笔记</t>
    </r>
  </si>
  <si>
    <t xml:space="preserve">部分</t>
  </si>
  <si>
    <t xml:space="preserve">S2-ACC / 5.2</t>
  </si>
  <si>
    <t xml:space="preserve">E2E_STAGE→2</t>
  </si>
  <si>
    <t xml:space="preserve">4.3.0</t>
  </si>
  <si>
    <t xml:space="preserve">Skill·MCP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</si>
  <si>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管理中心最小版：菜单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注册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审批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启停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权限过滤清单</t>
    </r>
  </si>
  <si>
    <t xml:space="preserve">无权限不可见；禁用联动</t>
  </si>
  <si>
    <t xml:space="preserve">S3-08/10</t>
  </si>
  <si>
    <t xml:space="preserve">ADR-004</t>
  </si>
  <si>
    <t xml:space="preserve">4.3.x</t>
  </si>
  <si>
    <r>
      <rPr>
        <sz val="10"/>
        <rFont val="Arial"/>
        <family val="0"/>
        <charset val="1"/>
      </rPr>
      <t xml:space="preserve">Skill Hub </t>
    </r>
    <r>
      <rPr>
        <sz val="10"/>
        <rFont val="Noto Sans CJK SC"/>
        <family val="2"/>
      </rPr>
      <t xml:space="preserve">持久化（五类型 </t>
    </r>
    <r>
      <rPr>
        <sz val="10"/>
        <rFont val="Arial"/>
        <family val="0"/>
        <charset val="1"/>
      </rPr>
      <t xml:space="preserve">CRUD/</t>
    </r>
    <r>
      <rPr>
        <sz val="10"/>
        <rFont val="Noto Sans CJK SC"/>
        <family val="2"/>
      </rPr>
      <t xml:space="preserve">审核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安装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版本 </t>
    </r>
    <r>
      <rPr>
        <sz val="10"/>
        <rFont val="Arial"/>
        <family val="0"/>
        <charset val="1"/>
      </rPr>
      <t xml:space="preserve">+ MCP </t>
    </r>
    <r>
      <rPr>
        <sz val="10"/>
        <rFont val="Noto Sans CJK SC"/>
        <family val="2"/>
      </rPr>
      <t xml:space="preserve">封装表单）</t>
    </r>
  </si>
  <si>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用例全绿</t>
    </r>
  </si>
  <si>
    <t xml:space="preserve">TC-S3×11</t>
  </si>
  <si>
    <t xml:space="preserve">4.3.3</t>
  </si>
  <si>
    <r>
      <rPr>
        <sz val="10"/>
        <rFont val="Arial"/>
        <family val="0"/>
        <charset val="1"/>
      </rPr>
      <t xml:space="preserve">Skill Copilot</t>
    </r>
    <r>
      <rPr>
        <sz val="10"/>
        <rFont val="Noto Sans CJK SC"/>
        <family val="2"/>
      </rPr>
      <t xml:space="preserve">（按权限推荐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封装）</t>
    </r>
  </si>
  <si>
    <r>
      <rPr>
        <sz val="10"/>
        <rFont val="Arial"/>
        <family val="0"/>
        <charset val="1"/>
      </rPr>
      <t xml:space="preserve">CP-03/06 </t>
    </r>
    <r>
      <rPr>
        <sz val="10"/>
        <rFont val="Noto Sans CJK SC"/>
        <family val="2"/>
      </rPr>
      <t xml:space="preserve">全绿</t>
    </r>
  </si>
  <si>
    <t xml:space="preserve">CP-03/06</t>
  </si>
  <si>
    <t xml:space="preserve">4.3.4</t>
  </si>
  <si>
    <r>
      <rPr>
        <sz val="10"/>
        <rFont val="Noto Sans CJK SC"/>
        <family val="2"/>
      </rPr>
      <t xml:space="preserve">文件处理通道②：企业云盘 </t>
    </r>
    <r>
      <rPr>
        <sz val="10"/>
        <rFont val="Arial"/>
        <family val="0"/>
        <charset val="1"/>
      </rPr>
      <t xml:space="preserve">MCP</t>
    </r>
    <r>
      <rPr>
        <sz val="10"/>
        <rFont val="Noto Sans CJK SC"/>
        <family val="2"/>
      </rPr>
      <t xml:space="preserve">（飞书</t>
    </r>
    <r>
      <rPr>
        <sz val="10"/>
        <rFont val="Arial"/>
        <family val="0"/>
        <charset val="1"/>
      </rPr>
      <t xml:space="preserve">/WPS/</t>
    </r>
    <r>
      <rPr>
        <sz val="10"/>
        <rFont val="Noto Sans CJK SC"/>
        <family val="2"/>
      </rPr>
      <t xml:space="preserve">企微微盘自建</t>
    </r>
    <r>
      <rPr>
        <sz val="10"/>
        <rFont val="Arial"/>
        <family val="0"/>
        <charset val="1"/>
      </rPr>
      <t xml:space="preserve">/OneDrive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</si>
  <si>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读写分切面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过审批</t>
    </r>
  </si>
  <si>
    <t xml:space="preserve">DOC-04/05</t>
  </si>
  <si>
    <t xml:space="preserve">4.4.x</t>
  </si>
  <si>
    <t xml:space="preserve">工作流</t>
  </si>
  <si>
    <r>
      <rPr>
        <sz val="10"/>
        <rFont val="Arial"/>
        <family val="0"/>
        <charset val="1"/>
      </rPr>
      <t xml:space="preserve">Workflow </t>
    </r>
    <r>
      <rPr>
        <sz val="10"/>
        <rFont val="Noto Sans CJK SC"/>
        <family val="2"/>
      </rPr>
      <t xml:space="preserve">保存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校验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最小执行引擎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版本（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节点禁用）</t>
    </r>
  </si>
  <si>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骨架用例细化后全绿</t>
    </r>
  </si>
  <si>
    <t xml:space="preserve">TC-S4×9</t>
  </si>
  <si>
    <t xml:space="preserve">4.4.5</t>
  </si>
  <si>
    <r>
      <rPr>
        <sz val="10"/>
        <rFont val="Arial"/>
        <family val="0"/>
        <charset val="1"/>
      </rPr>
      <t xml:space="preserve">Workflow/Chatflow Copilot</t>
    </r>
    <r>
      <rPr>
        <sz val="10"/>
        <rFont val="Noto Sans CJK SC"/>
        <family val="2"/>
      </rPr>
      <t xml:space="preserve">：意图跳转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流式生成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澄清面板回填</t>
    </r>
    <r>
      <rPr>
        <sz val="10"/>
        <rFont val="Arial"/>
        <family val="0"/>
        <charset val="1"/>
      </rPr>
      <t xml:space="preserve">+Dify </t>
    </r>
    <r>
      <rPr>
        <sz val="10"/>
        <rFont val="Noto Sans CJK SC"/>
        <family val="2"/>
      </rPr>
      <t xml:space="preserve">硬约束</t>
    </r>
  </si>
  <si>
    <r>
      <rPr>
        <sz val="10"/>
        <rFont val="Noto Sans CJK SC"/>
        <family val="2"/>
      </rPr>
      <t xml:space="preserve">三场景验收（</t>
    </r>
    <r>
      <rPr>
        <sz val="10"/>
        <rFont val="Arial"/>
        <family val="0"/>
        <charset val="1"/>
      </rPr>
      <t xml:space="preserve">PRD v1.09</t>
    </r>
    <r>
      <rPr>
        <sz val="10"/>
        <rFont val="Noto Sans CJK SC"/>
        <family val="2"/>
      </rPr>
      <t xml:space="preserve">）</t>
    </r>
  </si>
  <si>
    <t xml:space="preserve">CP-04/07/08/09/10</t>
  </si>
  <si>
    <r>
      <rPr>
        <sz val="10"/>
        <rFont val="Arial"/>
        <family val="0"/>
        <charset val="1"/>
      </rPr>
      <t xml:space="preserve">ADR-005 </t>
    </r>
    <r>
      <rPr>
        <sz val="10"/>
        <rFont val="Noto Sans CJK SC"/>
        <family val="2"/>
      </rPr>
      <t xml:space="preserve">交互协议</t>
    </r>
  </si>
  <si>
    <t xml:space="preserve">G5</t>
  </si>
  <si>
    <r>
      <rPr>
        <sz val="10"/>
        <rFont val="Arial"/>
        <family val="0"/>
        <charset val="1"/>
      </rPr>
      <t xml:space="preserve">Skill·MCP/</t>
    </r>
    <r>
      <rPr>
        <sz val="10"/>
        <rFont val="Noto Sans CJK SC"/>
        <family val="2"/>
      </rPr>
      <t xml:space="preserve">工作流</t>
    </r>
  </si>
  <si>
    <r>
      <rPr>
        <sz val="10"/>
        <rFont val="Arial"/>
        <family val="0"/>
        <charset val="1"/>
      </rPr>
      <t xml:space="preserve">Skill·MCP/</t>
    </r>
    <r>
      <rPr>
        <sz val="10"/>
        <rFont val="Noto Sans CJK SC"/>
        <family val="2"/>
      </rPr>
      <t xml:space="preserve">工作流阶段验收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第二轮用户测试</t>
    </r>
  </si>
  <si>
    <t xml:space="preserve">4.3.x,4.4.x</t>
  </si>
  <si>
    <t xml:space="preserve">上轮卡点消除</t>
  </si>
  <si>
    <t xml:space="preserve">5.3/5.4</t>
  </si>
  <si>
    <t xml:space="preserve">E2E_STAGE→4</t>
  </si>
  <si>
    <t xml:space="preserve">4.5.1</t>
  </si>
  <si>
    <t xml:space="preserve">成员租户</t>
  </si>
  <si>
    <r>
      <rPr>
        <sz val="10"/>
        <rFont val="Noto Sans CJK SC"/>
        <family val="2"/>
      </rPr>
      <t xml:space="preserve">成员邀请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角色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禁用闭环</t>
    </r>
  </si>
  <si>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用例全绿</t>
    </r>
  </si>
  <si>
    <t xml:space="preserve">TC-S5×3</t>
  </si>
  <si>
    <t xml:space="preserve">4.5.2</t>
  </si>
  <si>
    <r>
      <rPr>
        <sz val="10"/>
        <rFont val="Noto Sans CJK SC"/>
        <family val="2"/>
      </rPr>
      <t xml:space="preserve">租户开通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配额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暂停闭环</t>
    </r>
  </si>
  <si>
    <t xml:space="preserve">5.2-4</t>
  </si>
  <si>
    <t xml:space="preserve">持续用户测试循环（观察→反馈→调整）</t>
  </si>
  <si>
    <r>
      <rPr>
        <sz val="10"/>
        <rFont val="Noto Sans CJK SC"/>
        <family val="2"/>
      </rPr>
      <t xml:space="preserve">检测关口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达标</t>
    </r>
  </si>
  <si>
    <t xml:space="preserve">TESTING §L6②</t>
  </si>
  <si>
    <t xml:space="preserve">无复访即回炉场景</t>
  </si>
  <si>
    <t xml:space="preserve">6.1-6</t>
  </si>
  <si>
    <t xml:space="preserve">平台化</t>
  </si>
  <si>
    <r>
      <rPr>
        <sz val="10"/>
        <rFont val="Noto Sans CJK SC"/>
        <family val="2"/>
      </rPr>
      <t xml:space="preserve">计费</t>
    </r>
    <r>
      <rPr>
        <sz val="10"/>
        <rFont val="Arial"/>
        <family val="0"/>
        <charset val="1"/>
      </rPr>
      <t xml:space="preserve">/MCP/</t>
    </r>
    <r>
      <rPr>
        <sz val="10"/>
        <rFont val="Noto Sans CJK SC"/>
        <family val="2"/>
      </rPr>
      <t xml:space="preserve">审计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监控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租户内部管理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开放</t>
    </r>
    <r>
      <rPr>
        <sz val="10"/>
        <rFont val="Arial"/>
        <family val="0"/>
        <charset val="1"/>
      </rPr>
      <t xml:space="preserve">API</t>
    </r>
  </si>
  <si>
    <t xml:space="preserve">真实需求触发</t>
  </si>
  <si>
    <t xml:space="preserve">触发条件满足才启动</t>
  </si>
  <si>
    <r>
      <rPr>
        <sz val="10"/>
        <rFont val="Arial"/>
        <family val="0"/>
        <charset val="1"/>
      </rPr>
      <t xml:space="preserve">ROADMAP </t>
    </r>
    <r>
      <rPr>
        <sz val="10"/>
        <rFont val="Noto Sans CJK SC"/>
        <family val="2"/>
      </rPr>
      <t xml:space="preserve">阶段</t>
    </r>
    <r>
      <rPr>
        <sz val="10"/>
        <rFont val="Arial"/>
        <family val="0"/>
        <charset val="1"/>
      </rPr>
      <t xml:space="preserve">6</t>
    </r>
  </si>
  <si>
    <t xml:space="preserve">勿提前做</t>
  </si>
  <si>
    <t xml:space="preserve">质量关口（过关才能进入下一批次）</t>
  </si>
  <si>
    <t xml:space="preserve">关口</t>
  </si>
  <si>
    <t xml:space="preserve">内容</t>
  </si>
  <si>
    <t xml:space="preserve">前置批次</t>
  </si>
  <si>
    <t xml:space="preserve">通过标准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</si>
  <si>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1</t>
    </r>
  </si>
  <si>
    <t xml:space="preserve">产品定义完成才写代码</t>
  </si>
  <si>
    <t xml:space="preserve">已过</t>
  </si>
  <si>
    <r>
      <rPr>
        <sz val="10"/>
        <rFont val="Arial"/>
        <family val="0"/>
        <charset val="1"/>
      </rPr>
      <t xml:space="preserve">PRD/UI </t>
    </r>
    <r>
      <rPr>
        <sz val="10"/>
        <rFont val="Noto Sans CJK SC"/>
        <family val="2"/>
      </rPr>
      <t xml:space="preserve">规范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审计入库</t>
    </r>
  </si>
  <si>
    <t xml:space="preserve">✅ 已通过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</si>
  <si>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</si>
  <si>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架构 </t>
    </r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全部拍板才开发</t>
    </r>
  </si>
  <si>
    <r>
      <rPr>
        <sz val="10"/>
        <rFont val="Arial"/>
        <family val="0"/>
        <charset val="1"/>
      </rPr>
      <t xml:space="preserve">ADR-001~003 </t>
    </r>
    <r>
      <rPr>
        <sz val="10"/>
        <rFont val="Noto Sans CJK SC"/>
        <family val="2"/>
      </rPr>
      <t xml:space="preserve">拍板且用户能复述</t>
    </r>
  </si>
  <si>
    <t xml:space="preserve">🔄 1/3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</si>
  <si>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3</t>
    </r>
  </si>
  <si>
    <t xml:space="preserve">隔离与地基通过才做功能</t>
  </si>
  <si>
    <r>
      <rPr>
        <sz val="10"/>
        <rFont val="Arial"/>
        <family val="0"/>
        <charset val="1"/>
      </rPr>
      <t xml:space="preserve">S0-ISO </t>
    </r>
    <r>
      <rPr>
        <sz val="10"/>
        <rFont val="Noto Sans CJK SC"/>
        <family val="2"/>
      </rPr>
      <t xml:space="preserve">全绿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线上空壳可用 </t>
    </r>
    <r>
      <rPr>
        <sz val="10"/>
        <rFont val="Arial"/>
        <family val="0"/>
        <charset val="1"/>
      </rPr>
      <t xml:space="preserve">+ CI </t>
    </r>
    <r>
      <rPr>
        <sz val="10"/>
        <rFont val="Noto Sans CJK SC"/>
        <family val="2"/>
      </rPr>
      <t xml:space="preserve">含测试</t>
    </r>
  </si>
  <si>
    <t xml:space="preserve">⬜ 未开始</t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</si>
  <si>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</si>
  <si>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每切片验收（演示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交叉测试）</t>
    </r>
  </si>
  <si>
    <r>
      <rPr>
        <sz val="10"/>
        <rFont val="Noto Sans CJK SC"/>
        <family val="2"/>
      </rPr>
      <t xml:space="preserve">批次</t>
    </r>
    <r>
      <rPr>
        <sz val="10"/>
        <rFont val="Arial"/>
        <family val="0"/>
        <charset val="1"/>
      </rPr>
      <t xml:space="preserve">3-5</t>
    </r>
  </si>
  <si>
    <r>
      <rPr>
        <sz val="10"/>
        <rFont val="Noto Sans CJK SC"/>
        <family val="2"/>
      </rPr>
      <t xml:space="preserve">切片 </t>
    </r>
    <r>
      <rPr>
        <sz val="10"/>
        <rFont val="Arial"/>
        <family val="0"/>
        <charset val="1"/>
      </rPr>
      <t xml:space="preserve">ACC </t>
    </r>
    <r>
      <rPr>
        <sz val="10"/>
        <rFont val="Noto Sans CJK SC"/>
        <family val="2"/>
      </rPr>
      <t xml:space="preserve">用例闭环 </t>
    </r>
    <r>
      <rPr>
        <sz val="10"/>
        <rFont val="Arial"/>
        <family val="0"/>
        <charset val="1"/>
      </rPr>
      <t xml:space="preserve">+ Codex </t>
    </r>
    <r>
      <rPr>
        <sz val="10"/>
        <rFont val="Noto Sans CJK SC"/>
        <family val="2"/>
      </rPr>
      <t xml:space="preserve">报告闭环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每周可演示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</si>
  <si>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5</t>
    </r>
  </si>
  <si>
    <t xml:space="preserve">用户复访率达标才扩功能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</si>
  <si>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个用户中 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人主动二次使用，否则回炉场景</t>
    </r>
  </si>
  <si>
    <t xml:space="preserve">批次与阶段说明（读懂本表只需这一页）</t>
  </si>
  <si>
    <t xml:space="preserve">对应阶段</t>
  </si>
  <si>
    <t xml:space="preserve">这一批做什么</t>
  </si>
  <si>
    <t xml:space="preserve">进入下一批的条件（质量关口）</t>
  </si>
  <si>
    <t xml:space="preserve">历史基线</t>
  </si>
  <si>
    <r>
      <rPr>
        <sz val="10"/>
        <rFont val="Noto Sans CJK SC"/>
        <family val="2"/>
      </rPr>
      <t xml:space="preserve">项目启动前已完成的东西：前端原型、</t>
    </r>
    <r>
      <rPr>
        <sz val="10"/>
        <rFont val="Arial"/>
        <family val="0"/>
        <charset val="1"/>
      </rPr>
      <t xml:space="preserve">PRD/UI </t>
    </r>
    <r>
      <rPr>
        <sz val="10"/>
        <rFont val="Noto Sans CJK SC"/>
        <family val="2"/>
      </rPr>
      <t xml:space="preserve">规范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审计、主控文件、测试体系文档与用例、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套件——无需再操作，只是记账</t>
    </r>
  </si>
  <si>
    <t xml:space="preserve">—（天然完成）</t>
  </si>
  <si>
    <r>
      <rPr>
        <sz val="10"/>
        <rFont val="Noto Sans CJK SC"/>
        <family val="2"/>
      </rPr>
      <t xml:space="preserve">开工准备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架构收尾</t>
    </r>
  </si>
  <si>
    <r>
      <rPr>
        <sz val="10"/>
        <rFont val="Noto Sans CJK SC"/>
        <family val="2"/>
      </rPr>
      <t xml:space="preserve">扫清开发前障碍：注册 </t>
    </r>
    <r>
      <rPr>
        <sz val="10"/>
        <rFont val="Arial"/>
        <family val="0"/>
        <charset val="1"/>
      </rPr>
      <t xml:space="preserve">Supabase</t>
    </r>
    <r>
      <rPr>
        <sz val="10"/>
        <rFont val="Noto Sans CJK SC"/>
        <family val="2"/>
      </rPr>
      <t xml:space="preserve">（硬阻塞）、首次 </t>
    </r>
    <r>
      <rPr>
        <sz val="10"/>
        <rFont val="Arial"/>
        <family val="0"/>
        <charset val="1"/>
      </rPr>
      <t xml:space="preserve">push + CI </t>
    </r>
    <r>
      <rPr>
        <sz val="10"/>
        <rFont val="Noto Sans CJK SC"/>
        <family val="2"/>
      </rPr>
      <t xml:space="preserve">首跑、手动跑 </t>
    </r>
    <r>
      <rPr>
        <sz val="10"/>
        <rFont val="Arial"/>
        <family val="0"/>
        <charset val="1"/>
      </rPr>
      <t xml:space="preserve">TC-00</t>
    </r>
    <r>
      <rPr>
        <sz val="10"/>
        <rFont val="Noto Sans CJK SC"/>
        <family val="2"/>
      </rPr>
      <t xml:space="preserve">、装 </t>
    </r>
    <r>
      <rPr>
        <sz val="10"/>
        <rFont val="Arial"/>
        <family val="0"/>
        <charset val="1"/>
      </rPr>
      <t xml:space="preserve">Playwright/Vitest</t>
    </r>
    <r>
      <rPr>
        <sz val="10"/>
        <rFont val="Noto Sans CJK SC"/>
        <family val="2"/>
      </rPr>
      <t xml:space="preserve">、分支保护；补完最后两项架构设计（</t>
    </r>
    <r>
      <rPr>
        <sz val="10"/>
        <rFont val="Arial"/>
        <family val="0"/>
        <charset val="1"/>
      </rPr>
      <t xml:space="preserve">ADR-002 </t>
    </r>
    <r>
      <rPr>
        <sz val="10"/>
        <rFont val="Noto Sans CJK SC"/>
        <family val="2"/>
      </rPr>
      <t xml:space="preserve">租户方案、权限矩阵、数据层设计）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</si>
  <si>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：全部 </t>
    </r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拍板且你能复述；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绿灯</t>
    </r>
  </si>
  <si>
    <r>
      <rPr>
        <sz val="10"/>
        <rFont val="Noto Sans CJK SC"/>
        <family val="2"/>
      </rPr>
      <t xml:space="preserve">一切功能共同依赖的底座：建表</t>
    </r>
    <r>
      <rPr>
        <sz val="10"/>
        <rFont val="Arial"/>
        <family val="0"/>
        <charset val="1"/>
      </rPr>
      <t xml:space="preserve">+seed</t>
    </r>
    <r>
      <rPr>
        <sz val="10"/>
        <rFont val="Noto Sans CJK SC"/>
        <family val="2"/>
      </rPr>
      <t xml:space="preserve">、注册登录、租户隔离（</t>
    </r>
    <r>
      <rPr>
        <sz val="10"/>
        <rFont val="Arial"/>
        <family val="0"/>
        <charset val="1"/>
      </rPr>
      <t xml:space="preserve">RLS</t>
    </r>
    <r>
      <rPr>
        <sz val="10"/>
        <rFont val="Noto Sans CJK SC"/>
        <family val="2"/>
      </rPr>
      <t xml:space="preserve">）、权限校验、数据层切真实数据、服务器部署链路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</si>
  <si>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：租户隔离专项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条全绿（红一条全线停工）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线上空壳可注册登录</t>
    </r>
  </si>
  <si>
    <r>
      <rPr>
        <sz val="10"/>
        <rFont val="Noto Sans CJK SC"/>
        <family val="2"/>
      </rPr>
      <t xml:space="preserve">第一条端到端业务闭环：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增删改查→状态机→审核→真实大模型对话→调用日志 </t>
    </r>
    <r>
      <rPr>
        <sz val="10"/>
        <rFont val="Arial"/>
        <family val="0"/>
        <charset val="1"/>
      </rPr>
      <t xml:space="preserve">+ Agent Copilot </t>
    </r>
    <r>
      <rPr>
        <sz val="10"/>
        <rFont val="Noto Sans CJK SC"/>
        <family val="2"/>
      </rPr>
      <t xml:space="preserve">最简版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</si>
  <si>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：全链路当面演示通过 </t>
    </r>
    <r>
      <rPr>
        <sz val="10"/>
        <rFont val="Arial"/>
        <family val="0"/>
        <charset val="1"/>
      </rPr>
      <t xml:space="preserve">+ Codex </t>
    </r>
    <r>
      <rPr>
        <sz val="10"/>
        <rFont val="Noto Sans CJK SC"/>
        <family val="2"/>
      </rPr>
      <t xml:space="preserve">交叉测试闭环</t>
    </r>
  </si>
  <si>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闭环（上传→解析向量化→带引用问答→金标准评测≥</t>
    </r>
    <r>
      <rPr>
        <sz val="10"/>
        <rFont val="Arial"/>
        <family val="0"/>
        <charset val="1"/>
      </rPr>
      <t xml:space="preserve">80%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办公文件处理通道①（上传</t>
    </r>
    <r>
      <rPr>
        <sz val="10"/>
        <rFont val="Arial"/>
        <family val="0"/>
        <charset val="1"/>
      </rPr>
      <t xml:space="preserve">-AI</t>
    </r>
    <r>
      <rPr>
        <sz val="10"/>
        <rFont val="Noto Sans CJK SC"/>
        <family val="2"/>
      </rPr>
      <t xml:space="preserve">处理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下载）</t>
    </r>
  </si>
  <si>
    <r>
      <rPr>
        <sz val="10"/>
        <rFont val="Noto Sans CJK SC"/>
        <family val="2"/>
      </rPr>
      <t xml:space="preserve">阶段验收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首轮真实用户测试（</t>
    </r>
    <r>
      <rPr>
        <sz val="10"/>
        <rFont val="Arial"/>
        <family val="0"/>
        <charset val="1"/>
      </rPr>
      <t xml:space="preserve">3-5 </t>
    </r>
    <r>
      <rPr>
        <sz val="10"/>
        <rFont val="Noto Sans CJK SC"/>
        <family val="2"/>
      </rPr>
      <t xml:space="preserve">人观察）</t>
    </r>
  </si>
  <si>
    <r>
      <rPr>
        <sz val="10"/>
        <rFont val="Arial"/>
        <family val="0"/>
        <charset val="1"/>
      </rPr>
      <t xml:space="preserve">Skill·MCP + </t>
    </r>
    <r>
      <rPr>
        <sz val="10"/>
        <rFont val="Noto Sans CJK SC"/>
        <family val="2"/>
      </rPr>
      <t xml:space="preserve">工作流</t>
    </r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</si>
  <si>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管理中心、</t>
    </r>
    <r>
      <rPr>
        <sz val="10"/>
        <rFont val="Arial"/>
        <family val="0"/>
        <charset val="1"/>
      </rPr>
      <t xml:space="preserve">Skill Hub </t>
    </r>
    <r>
      <rPr>
        <sz val="10"/>
        <rFont val="Noto Sans CJK SC"/>
        <family val="2"/>
      </rPr>
      <t xml:space="preserve">五类型与封装、云盘接入（含企微微盘）；工作流保存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校验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执行引擎 </t>
    </r>
    <r>
      <rPr>
        <sz val="10"/>
        <rFont val="Arial"/>
        <family val="0"/>
        <charset val="1"/>
      </rPr>
      <t xml:space="preserve">+ Workflow Copilot</t>
    </r>
    <r>
      <rPr>
        <sz val="10"/>
        <rFont val="Noto Sans CJK SC"/>
        <family val="2"/>
      </rPr>
      <t xml:space="preserve">（意图跳转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澄清面板</t>
    </r>
    <r>
      <rPr>
        <sz val="10"/>
        <rFont val="Arial"/>
        <family val="0"/>
        <charset val="1"/>
      </rPr>
      <t xml:space="preserve">/Dify </t>
    </r>
    <r>
      <rPr>
        <sz val="10"/>
        <rFont val="Noto Sans CJK SC"/>
        <family val="2"/>
      </rPr>
      <t xml:space="preserve">约束）</t>
    </r>
  </si>
  <si>
    <r>
      <rPr>
        <sz val="10"/>
        <rFont val="Noto Sans CJK SC"/>
        <family val="2"/>
      </rPr>
      <t xml:space="preserve">阶段验收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第二轮用户测试（上轮卡点不再出现）</t>
    </r>
  </si>
  <si>
    <r>
      <rPr>
        <sz val="10"/>
        <rFont val="Noto Sans CJK SC"/>
        <family val="2"/>
      </rPr>
      <t xml:space="preserve">成员租户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持续验证</t>
    </r>
  </si>
  <si>
    <r>
      <rPr>
        <sz val="10"/>
        <rFont val="Noto Sans CJK SC"/>
        <family val="2"/>
      </rPr>
      <t xml:space="preserve">成员邀请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角色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禁用闭环、租户开通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配额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暂停闭环；用户测试转入常态循环</t>
    </r>
  </si>
  <si>
    <r>
      <rPr>
        <sz val="10"/>
        <rFont val="Noto Sans CJK SC"/>
        <family val="2"/>
      </rPr>
      <t xml:space="preserve">关口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个用户中 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人主动二次使用，否则回炉改场景</t>
    </r>
  </si>
  <si>
    <t xml:space="preserve">平台化（暂缓）</t>
  </si>
  <si>
    <r>
      <rPr>
        <sz val="10"/>
        <rFont val="Noto Sans CJK SC"/>
        <family val="2"/>
      </rPr>
      <t xml:space="preserve">计费</t>
    </r>
    <r>
      <rPr>
        <sz val="10"/>
        <rFont val="Arial"/>
        <family val="0"/>
        <charset val="1"/>
      </rPr>
      <t xml:space="preserve">/MCP </t>
    </r>
    <r>
      <rPr>
        <sz val="10"/>
        <rFont val="Noto Sans CJK SC"/>
        <family val="2"/>
      </rPr>
      <t xml:space="preserve">网关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审计完善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实时监控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开放 </t>
    </r>
    <r>
      <rPr>
        <sz val="10"/>
        <rFont val="Arial"/>
        <family val="0"/>
        <charset val="1"/>
      </rPr>
      <t xml:space="preserve">API——</t>
    </r>
    <r>
      <rPr>
        <sz val="10"/>
        <rFont val="Noto Sans CJK SC"/>
        <family val="2"/>
      </rPr>
      <t xml:space="preserve">全部由真实客户需求触发，禁止提前做</t>
    </r>
  </si>
  <si>
    <r>
      <rPr>
        <sz val="10"/>
        <rFont val="Noto Sans CJK SC"/>
        <family val="2"/>
      </rPr>
      <t xml:space="preserve">触发条件：</t>
    </r>
    <r>
      <rPr>
        <sz val="10"/>
        <rFont val="Arial"/>
        <family val="0"/>
        <charset val="1"/>
      </rPr>
      <t xml:space="preserve">10+ </t>
    </r>
    <r>
      <rPr>
        <sz val="10"/>
        <rFont val="Noto Sans CJK SC"/>
        <family val="2"/>
      </rPr>
      <t xml:space="preserve">活跃用户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用户主动提出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核心功能稳定一个月</t>
    </r>
  </si>
  <si>
    <r>
      <rPr>
        <b val="true"/>
        <sz val="11"/>
        <color rgb="FF1F3864"/>
        <rFont val="Noto Sans CJK SC"/>
        <family val="2"/>
      </rPr>
      <t xml:space="preserve">与 </t>
    </r>
    <r>
      <rPr>
        <b val="true"/>
        <sz val="11"/>
        <color rgb="FF1F3864"/>
        <rFont val="Arial"/>
        <family val="0"/>
        <charset val="1"/>
      </rPr>
      <t xml:space="preserve">Claude Code </t>
    </r>
    <r>
      <rPr>
        <b val="true"/>
        <sz val="11"/>
        <color rgb="FF1F3864"/>
        <rFont val="Noto Sans CJK SC"/>
        <family val="2"/>
      </rPr>
      <t xml:space="preserve">的交互方式</t>
    </r>
  </si>
  <si>
    <r>
      <rPr>
        <sz val="10"/>
        <rFont val="Noto Sans CJK SC"/>
        <family val="2"/>
      </rPr>
      <t xml:space="preserve">交互粒度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任务（一个 </t>
    </r>
    <r>
      <rPr>
        <sz val="10"/>
        <rFont val="Arial"/>
        <family val="0"/>
        <charset val="1"/>
      </rPr>
      <t xml:space="preserve">Issue</t>
    </r>
    <r>
      <rPr>
        <sz val="10"/>
        <rFont val="Noto Sans CJK SC"/>
        <family val="2"/>
      </rPr>
      <t xml:space="preserve">，≤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小时），不是批次：一个批次通常需要十几次交互才完成</t>
    </r>
  </si>
  <si>
    <r>
      <rPr>
        <sz val="10"/>
        <rFont val="Noto Sans CJK SC"/>
        <family val="2"/>
      </rPr>
      <t xml:space="preserve">日常节奏：对 </t>
    </r>
    <r>
      <rPr>
        <sz val="10"/>
        <rFont val="Arial"/>
        <family val="0"/>
        <charset val="1"/>
      </rPr>
      <t xml:space="preserve">Claude Code </t>
    </r>
    <r>
      <rPr>
        <sz val="10"/>
        <rFont val="Noto Sans CJK SC"/>
        <family val="2"/>
      </rPr>
      <t xml:space="preserve">说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继续下一个任务</t>
    </r>
    <r>
      <rPr>
        <sz val="10"/>
        <rFont val="Arial"/>
        <family val="0"/>
        <charset val="1"/>
      </rPr>
      <t xml:space="preserve">" → </t>
    </r>
    <r>
      <rPr>
        <sz val="10"/>
        <rFont val="Noto Sans CJK SC"/>
        <family val="2"/>
      </rPr>
      <t xml:space="preserve">它读 </t>
    </r>
    <r>
      <rPr>
        <sz val="10"/>
        <rFont val="Arial"/>
        <family val="0"/>
        <charset val="1"/>
      </rPr>
      <t xml:space="preserve">ROADMAP </t>
    </r>
    <r>
      <rPr>
        <sz val="10"/>
        <rFont val="Noto Sans CJK SC"/>
        <family val="2"/>
      </rPr>
      <t xml:space="preserve">取当前批次下一个未完成任务 → 复述编号与验收标准 → 你确认 → 开发 →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步清单 → 你验收关 </t>
    </r>
    <r>
      <rPr>
        <sz val="10"/>
        <rFont val="Arial"/>
        <family val="0"/>
        <charset val="1"/>
      </rPr>
      <t xml:space="preserve">Issue</t>
    </r>
  </si>
  <si>
    <t xml:space="preserve">批次内无依赖的任务顺序可灵活；跨批次必须过质量关口，由你亲自验收放行</t>
  </si>
  <si>
    <r>
      <rPr>
        <sz val="10"/>
        <rFont val="Noto Sans CJK SC"/>
        <family val="2"/>
      </rPr>
      <t xml:space="preserve">所属阶段列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任务的功能领域归属（原文档中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切片</t>
    </r>
    <r>
      <rPr>
        <sz val="10"/>
        <rFont val="Arial"/>
        <family val="0"/>
        <charset val="1"/>
      </rPr>
      <t xml:space="preserve">N"</t>
    </r>
    <r>
      <rPr>
        <sz val="10"/>
        <rFont val="Noto Sans CJK SC"/>
        <family val="2"/>
      </rPr>
      <t xml:space="preserve">的提法已取消：切片</t>
    </r>
    <r>
      <rPr>
        <sz val="10"/>
        <rFont val="Arial"/>
        <family val="0"/>
        <charset val="1"/>
      </rPr>
      <t xml:space="preserve">0=</t>
    </r>
    <r>
      <rPr>
        <sz val="10"/>
        <rFont val="Noto Sans CJK SC"/>
        <family val="2"/>
      </rPr>
      <t xml:space="preserve">地基、</t>
    </r>
    <r>
      <rPr>
        <sz val="10"/>
        <rFont val="Arial"/>
        <family val="0"/>
        <charset val="1"/>
      </rPr>
      <t xml:space="preserve">1=Agent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2=</t>
    </r>
    <r>
      <rPr>
        <sz val="10"/>
        <rFont val="Noto Sans CJK SC"/>
        <family val="2"/>
      </rPr>
      <t xml:space="preserve">知识库、</t>
    </r>
    <r>
      <rPr>
        <sz val="10"/>
        <rFont val="Arial"/>
        <family val="0"/>
        <charset val="1"/>
      </rPr>
      <t xml:space="preserve">3=Skill·MCP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4=</t>
    </r>
    <r>
      <rPr>
        <sz val="10"/>
        <rFont val="Noto Sans CJK SC"/>
        <family val="2"/>
      </rPr>
      <t xml:space="preserve">工作流、</t>
    </r>
    <r>
      <rPr>
        <sz val="10"/>
        <rFont val="Arial"/>
        <family val="0"/>
        <charset val="1"/>
      </rPr>
      <t xml:space="preserve">5=</t>
    </r>
    <r>
      <rPr>
        <sz val="10"/>
        <rFont val="Noto Sans CJK SC"/>
        <family val="2"/>
      </rPr>
      <t xml:space="preserve">成员租户）</t>
    </r>
  </si>
  <si>
    <t xml:space="preserve">架构与流程决策日志</t>
  </si>
  <si>
    <t xml:space="preserve">日期</t>
  </si>
  <si>
    <t xml:space="preserve">决策内容</t>
  </si>
  <si>
    <t xml:space="preserve">记录位置</t>
  </si>
  <si>
    <t xml:space="preserve">2026-07-18</t>
  </si>
  <si>
    <r>
      <rPr>
        <sz val="10"/>
        <rFont val="Noto Sans CJK SC"/>
        <family val="2"/>
      </rPr>
      <t xml:space="preserve">后端 </t>
    </r>
    <r>
      <rPr>
        <sz val="10"/>
        <rFont val="Arial"/>
        <family val="0"/>
        <charset val="1"/>
      </rPr>
      <t xml:space="preserve">= Next.js API Routes </t>
    </r>
    <r>
      <rPr>
        <sz val="10"/>
        <rFont val="Noto Sans CJK SC"/>
        <family val="2"/>
      </rPr>
      <t xml:space="preserve">单体 </t>
    </r>
    <r>
      <rPr>
        <sz val="10"/>
        <rFont val="Arial"/>
        <family val="0"/>
        <charset val="1"/>
      </rPr>
      <t xml:space="preserve">+ Supabase </t>
    </r>
    <r>
      <rPr>
        <sz val="10"/>
        <rFont val="Noto Sans CJK SC"/>
        <family val="2"/>
      </rPr>
      <t xml:space="preserve">云托管（</t>
    </r>
    <r>
      <rPr>
        <sz val="10"/>
        <rFont val="Arial"/>
        <family val="0"/>
        <charset val="1"/>
      </rPr>
      <t xml:space="preserve">Postgres/Auth/Storage/pgvector</t>
    </r>
    <r>
      <rPr>
        <sz val="10"/>
        <rFont val="Noto Sans CJK SC"/>
        <family val="2"/>
      </rPr>
      <t xml:space="preserve">）；浏览器永不直连 </t>
    </r>
    <r>
      <rPr>
        <sz val="10"/>
        <rFont val="Arial"/>
        <family val="0"/>
        <charset val="1"/>
      </rPr>
      <t xml:space="preserve">Supabase</t>
    </r>
    <r>
      <rPr>
        <sz val="10"/>
        <rFont val="Noto Sans CJK SC"/>
        <family val="2"/>
      </rPr>
      <t xml:space="preserve">；前端技术栈定稿不精简</t>
    </r>
  </si>
  <si>
    <r>
      <rPr>
        <sz val="10"/>
        <rFont val="Noto Sans CJK SC"/>
        <family val="2"/>
      </rPr>
      <t xml:space="preserve">测试策略：六层测试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五时机；</t>
    </r>
    <r>
      <rPr>
        <sz val="10"/>
        <rFont val="Arial"/>
        <family val="0"/>
        <charset val="1"/>
      </rPr>
      <t xml:space="preserve">Vitest+RTL+Playwright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CI=GitHub Actions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Issue 9 </t>
    </r>
    <r>
      <rPr>
        <sz val="10"/>
        <rFont val="Noto Sans CJK SC"/>
        <family val="2"/>
      </rPr>
      <t xml:space="preserve">步执行清单</t>
    </r>
  </si>
  <si>
    <t xml:space="preserve">docs/TESTING.md</t>
  </si>
  <si>
    <r>
      <rPr>
        <sz val="10"/>
        <rFont val="Noto Sans CJK SC"/>
        <family val="2"/>
      </rPr>
      <t xml:space="preserve">测试自动执行协议：标签→测试集映射；</t>
    </r>
    <r>
      <rPr>
        <sz val="10"/>
        <rFont val="Arial"/>
        <family val="0"/>
        <charset val="1"/>
      </rPr>
      <t xml:space="preserve">gh </t>
    </r>
    <r>
      <rPr>
        <sz val="10"/>
        <rFont val="Noto Sans CJK SC"/>
        <family val="2"/>
      </rPr>
      <t xml:space="preserve">自动回帖；失败自动修复≤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轮；</t>
    </r>
    <r>
      <rPr>
        <sz val="10"/>
        <rFont val="Arial"/>
        <family val="0"/>
        <charset val="1"/>
      </rPr>
      <t xml:space="preserve">Codex </t>
    </r>
    <r>
      <rPr>
        <sz val="10"/>
        <rFont val="Noto Sans CJK SC"/>
        <family val="2"/>
      </rPr>
      <t xml:space="preserve">只读交叉审查</t>
    </r>
  </si>
  <si>
    <t xml:space="preserve">docs/TESTING_WORKFLOW.md</t>
  </si>
  <si>
    <r>
      <rPr>
        <sz val="10"/>
        <rFont val="Noto Sans CJK SC"/>
        <family val="2"/>
      </rPr>
      <t xml:space="preserve">测试用例库 </t>
    </r>
    <r>
      <rPr>
        <sz val="10"/>
        <rFont val="Arial"/>
        <family val="0"/>
        <charset val="1"/>
      </rPr>
      <t xml:space="preserve">98 </t>
    </r>
    <r>
      <rPr>
        <sz val="10"/>
        <rFont val="Noto Sans CJK SC"/>
        <family val="2"/>
      </rPr>
      <t xml:space="preserve">条 </t>
    </r>
    <r>
      <rPr>
        <sz val="10"/>
        <rFont val="Arial"/>
        <family val="0"/>
        <charset val="1"/>
      </rPr>
      <t xml:space="preserve">+ E2E </t>
    </r>
    <r>
      <rPr>
        <sz val="10"/>
        <rFont val="Noto Sans CJK SC"/>
        <family val="2"/>
      </rPr>
      <t xml:space="preserve">阶段门控套件（</t>
    </r>
    <r>
      <rPr>
        <sz val="10"/>
        <rFont val="Arial"/>
        <family val="0"/>
        <charset val="1"/>
      </rPr>
      <t xml:space="preserve">E2E_STAGE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测试数据即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契约</t>
    </r>
  </si>
  <si>
    <t xml:space="preserve">docs/test-cases/ + tests/e2e/</t>
  </si>
  <si>
    <r>
      <rPr>
        <sz val="10"/>
        <rFont val="Noto Sans CJK SC"/>
        <family val="2"/>
      </rPr>
      <t xml:space="preserve">项目进度固定以本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格式输出至 </t>
    </r>
    <r>
      <rPr>
        <sz val="10"/>
        <rFont val="Arial"/>
        <family val="0"/>
        <charset val="1"/>
      </rPr>
      <t xml:space="preserve">docs/AIPaddle-</t>
    </r>
    <r>
      <rPr>
        <sz val="10"/>
        <rFont val="Noto Sans CJK SC"/>
        <family val="2"/>
      </rPr>
      <t xml:space="preserve">项目进度管控</t>
    </r>
    <r>
      <rPr>
        <sz val="10"/>
        <rFont val="Arial"/>
        <family val="0"/>
        <charset val="1"/>
      </rPr>
      <t xml:space="preserve">.xlsx</t>
    </r>
    <r>
      <rPr>
        <sz val="10"/>
        <rFont val="Noto Sans CJK SC"/>
        <family val="2"/>
      </rPr>
      <t xml:space="preserve">，询问进度时自动刷新</t>
    </r>
  </si>
  <si>
    <r>
      <rPr>
        <sz val="10"/>
        <rFont val="Arial"/>
        <family val="0"/>
        <charset val="1"/>
      </rPr>
      <t xml:space="preserve">CLAUDE.md </t>
    </r>
    <r>
      <rPr>
        <sz val="10"/>
        <rFont val="Noto Sans CJK SC"/>
        <family val="2"/>
      </rPr>
      <t xml:space="preserve">规则 </t>
    </r>
    <r>
      <rPr>
        <sz val="10"/>
        <rFont val="Arial"/>
        <family val="0"/>
        <charset val="1"/>
      </rPr>
      <t xml:space="preserve">7</t>
    </r>
  </si>
  <si>
    <r>
      <rPr>
        <sz val="10"/>
        <rFont val="Noto Sans CJK SC"/>
        <family val="2"/>
      </rPr>
      <t xml:space="preserve">数据模型 </t>
    </r>
    <r>
      <rPr>
        <sz val="10"/>
        <rFont val="Arial"/>
        <family val="0"/>
        <charset val="1"/>
      </rPr>
      <t xml:space="preserve">v1.0 </t>
    </r>
    <r>
      <rPr>
        <sz val="10"/>
        <rFont val="Noto Sans CJK SC"/>
        <family val="2"/>
      </rPr>
      <t xml:space="preserve">拍板：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张表；全表软删除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多角色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分表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统一中间表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文本部门</t>
    </r>
    <r>
      <rPr>
        <sz val="10"/>
        <rFont val="Arial"/>
        <family val="0"/>
        <charset val="1"/>
      </rPr>
      <t xml:space="preserve">/1536 </t>
    </r>
    <r>
      <rPr>
        <sz val="10"/>
        <rFont val="Noto Sans CJK SC"/>
        <family val="2"/>
      </rPr>
      <t xml:space="preserve">维；</t>
    </r>
    <r>
      <rPr>
        <sz val="10"/>
        <rFont val="Arial"/>
        <family val="0"/>
        <charset val="1"/>
      </rPr>
      <t xml:space="preserve">migration 0001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</si>
  <si>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确认页 </t>
    </r>
    <r>
      <rPr>
        <sz val="10"/>
        <rFont val="Arial"/>
        <family val="0"/>
        <charset val="1"/>
      </rPr>
      <t xml:space="preserve">/ 0001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</si>
  <si>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接入：默认 </t>
    </r>
    <r>
      <rPr>
        <sz val="10"/>
        <rFont val="Arial"/>
        <family val="0"/>
        <charset val="1"/>
      </rPr>
      <t xml:space="preserve">Kimi 2.5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兼容端点），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config.model </t>
    </r>
    <r>
      <rPr>
        <sz val="10"/>
        <rFont val="Noto Sans CJK SC"/>
        <family val="2"/>
      </rPr>
      <t xml:space="preserve">可调配；首版不上网关</t>
    </r>
  </si>
  <si>
    <t xml:space="preserve">ADR-003 / PRD v1.05</t>
  </si>
  <si>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治理：平台内全部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能力强制封装 </t>
    </r>
    <r>
      <rPr>
        <sz val="10"/>
        <rFont val="Arial"/>
        <family val="0"/>
        <charset val="1"/>
      </rPr>
      <t xml:space="preserve">Skill</t>
    </r>
    <r>
      <rPr>
        <sz val="10"/>
        <rFont val="Noto Sans CJK SC"/>
        <family val="2"/>
      </rPr>
      <t xml:space="preserve">；清单按角色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部门过滤；两层结构；</t>
    </r>
    <r>
      <rPr>
        <sz val="10"/>
        <rFont val="Arial"/>
        <family val="0"/>
        <charset val="1"/>
      </rPr>
      <t xml:space="preserve">migration 0002</t>
    </r>
  </si>
  <si>
    <t xml:space="preserve">ADR-004 / PRD v1.06</t>
  </si>
  <si>
    <r>
      <rPr>
        <sz val="10"/>
        <rFont val="Arial"/>
        <family val="0"/>
        <charset val="1"/>
      </rPr>
      <t xml:space="preserve">Vibe Coding </t>
    </r>
    <r>
      <rPr>
        <sz val="10"/>
        <rFont val="Noto Sans CJK SC"/>
        <family val="2"/>
      </rPr>
      <t xml:space="preserve">范围收缩为 </t>
    </r>
    <r>
      <rPr>
        <sz val="10"/>
        <rFont val="Arial"/>
        <family val="0"/>
        <charset val="1"/>
      </rPr>
      <t xml:space="preserve">AI Copilot</t>
    </r>
    <r>
      <rPr>
        <sz val="10"/>
        <rFont val="Noto Sans CJK SC"/>
        <family val="2"/>
      </rPr>
      <t xml:space="preserve">（仅创建平台资产）：无需沙盒；服务器不部署 </t>
    </r>
    <r>
      <rPr>
        <sz val="10"/>
        <rFont val="Arial"/>
        <family val="0"/>
        <charset val="1"/>
      </rPr>
      <t xml:space="preserve">Claude Code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节点禁用</t>
    </r>
  </si>
  <si>
    <t xml:space="preserve">ADR-005 / PRD v1.07</t>
  </si>
  <si>
    <r>
      <rPr>
        <sz val="10"/>
        <rFont val="Noto Sans CJK SC"/>
        <family val="2"/>
      </rPr>
      <t xml:space="preserve">办公文件处理三通道（高优先级）：上传下载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云盘 </t>
    </r>
    <r>
      <rPr>
        <sz val="10"/>
        <rFont val="Arial"/>
        <family val="0"/>
        <charset val="1"/>
      </rPr>
      <t xml:space="preserve">MCP </t>
    </r>
    <r>
      <rPr>
        <sz val="10"/>
        <rFont val="Noto Sans CJK SC"/>
        <family val="2"/>
      </rPr>
      <t xml:space="preserve">含企微微盘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浏览器直读写二期</t>
    </r>
  </si>
  <si>
    <t xml:space="preserve">ADR-006 / PRD v1.08</t>
  </si>
  <si>
    <r>
      <rPr>
        <sz val="10"/>
        <rFont val="Arial"/>
        <family val="0"/>
        <charset val="1"/>
      </rPr>
      <t xml:space="preserve">Copilot </t>
    </r>
    <r>
      <rPr>
        <sz val="10"/>
        <rFont val="Noto Sans CJK SC"/>
        <family val="2"/>
      </rPr>
      <t xml:space="preserve">交互场景规范：意图识别跳转（右对话左画布）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画布下方澄清面板勾选回填</t>
    </r>
    <r>
      <rPr>
        <sz val="10"/>
        <rFont val="Arial"/>
        <family val="0"/>
        <charset val="1"/>
      </rPr>
      <t xml:space="preserve">/Dify DSL </t>
    </r>
    <r>
      <rPr>
        <sz val="10"/>
        <rFont val="Noto Sans CJK SC"/>
        <family val="2"/>
      </rPr>
      <t xml:space="preserve">硬约束</t>
    </r>
  </si>
  <si>
    <r>
      <rPr>
        <sz val="10"/>
        <rFont val="Arial"/>
        <family val="0"/>
        <charset val="1"/>
      </rPr>
      <t xml:space="preserve">ADR-005 </t>
    </r>
    <r>
      <rPr>
        <sz val="10"/>
        <rFont val="Noto Sans CJK SC"/>
        <family val="2"/>
      </rPr>
      <t xml:space="preserve">交互协议 </t>
    </r>
    <r>
      <rPr>
        <sz val="10"/>
        <rFont val="Arial"/>
        <family val="0"/>
        <charset val="1"/>
      </rPr>
      <t xml:space="preserve">/ PRD v1.09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</si>
</sst>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4"/>
      <color rgb="FF1F3864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1"/>
      <color rgb="FF1F3864"/>
      <name val="Noto Sans CJK SC"/>
      <family val="2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2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COUNTA(任务清单!A:A)-1</f>
        <v>61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</row>
    <row r="6" customFormat="false" ht="15" hidden="false" customHeight="false" outlineLevel="0" collapsed="false">
      <c r="A6" s="4" t="s">
        <v>7</v>
      </c>
      <c r="B6" s="5" t="n">
        <f aca="false">COUNTIF(任务清单!G:G,"已完成")</f>
        <v>18</v>
      </c>
      <c r="D6" s="4" t="s">
        <v>10</v>
      </c>
      <c r="E6" s="4" t="n">
        <f aca="false">COUNTIF(任务清单!B:B,"批次0")</f>
        <v>11</v>
      </c>
      <c r="F6" s="4" t="n">
        <f aca="false">COUNTIFS(任务清单!B:B,"批次0",任务清单!G:G,"已完成")</f>
        <v>11</v>
      </c>
      <c r="G6" s="4" t="n">
        <f aca="false">COUNTIFS(任务清单!B:B,"批次0",任务清单!G:G,"进行中")</f>
        <v>0</v>
      </c>
      <c r="H6" s="4" t="str">
        <f aca="false">IF(E6=0,"-",TEXT(F6/E6,"0%"))</f>
        <v>100%</v>
      </c>
    </row>
    <row r="7" customFormat="false" ht="15" hidden="false" customHeight="false" outlineLevel="0" collapsed="false">
      <c r="A7" s="4" t="s">
        <v>8</v>
      </c>
      <c r="B7" s="5" t="n">
        <f aca="false">COUNTIF(任务清单!G:G,"进行中")</f>
        <v>4</v>
      </c>
      <c r="D7" s="4" t="s">
        <v>11</v>
      </c>
      <c r="E7" s="4" t="n">
        <f aca="false">COUNTIF(任务清单!B:B,"批次1")</f>
        <v>17</v>
      </c>
      <c r="F7" s="4" t="n">
        <f aca="false">COUNTIFS(任务清单!B:B,"批次1",任务清单!G:G,"已完成")</f>
        <v>7</v>
      </c>
      <c r="G7" s="4" t="n">
        <f aca="false">COUNTIFS(任务清单!B:B,"批次1",任务清单!G:G,"进行中")</f>
        <v>4</v>
      </c>
      <c r="H7" s="4" t="str">
        <f aca="false">IF(E7=0,"-",TEXT(F7/E7,"0%"))</f>
        <v>41%</v>
      </c>
    </row>
    <row r="8" customFormat="false" ht="15" hidden="false" customHeight="false" outlineLevel="0" collapsed="false">
      <c r="A8" s="4" t="s">
        <v>12</v>
      </c>
      <c r="B8" s="5" t="n">
        <f aca="false">COUNTIF(任务清单!G:G,"未开始")</f>
        <v>38</v>
      </c>
      <c r="D8" s="4" t="s">
        <v>13</v>
      </c>
      <c r="E8" s="4" t="n">
        <f aca="false">COUNTIF(任务清单!B:B,"批次2")</f>
        <v>9</v>
      </c>
      <c r="F8" s="4" t="n">
        <f aca="false">COUNTIFS(任务清单!B:B,"批次2",任务清单!G:G,"已完成")</f>
        <v>0</v>
      </c>
      <c r="G8" s="4" t="n">
        <f aca="false">COUNTIFS(任务清单!B:B,"批次2",任务清单!G:G,"进行中")</f>
        <v>0</v>
      </c>
      <c r="H8" s="4" t="str">
        <f aca="false">IF(E8=0,"-",TEXT(F8/E8,"0%"))</f>
        <v>0%</v>
      </c>
    </row>
    <row r="9" customFormat="false" ht="15" hidden="false" customHeight="false" outlineLevel="0" collapsed="false">
      <c r="A9" s="4" t="s">
        <v>14</v>
      </c>
      <c r="B9" s="5" t="n">
        <f aca="false">COUNTIF(任务清单!G:G,"暂缓")</f>
        <v>1</v>
      </c>
      <c r="D9" s="4" t="s">
        <v>15</v>
      </c>
      <c r="E9" s="4" t="n">
        <f aca="false">COUNTIF(任务清单!B:B,"批次3")</f>
        <v>8</v>
      </c>
      <c r="F9" s="4" t="n">
        <f aca="false">COUNTIFS(任务清单!B:B,"批次3",任务清单!G:G,"已完成")</f>
        <v>0</v>
      </c>
      <c r="G9" s="4" t="n">
        <f aca="false">COUNTIFS(任务清单!B:B,"批次3",任务清单!G:G,"进行中")</f>
        <v>0</v>
      </c>
      <c r="H9" s="4" t="str">
        <f aca="false">IF(E9=0,"-",TEXT(F9/E9,"0%"))</f>
        <v>0%</v>
      </c>
    </row>
    <row r="10" customFormat="false" ht="15" hidden="false" customHeight="false" outlineLevel="0" collapsed="false">
      <c r="A10" s="4" t="s">
        <v>9</v>
      </c>
      <c r="B10" s="5" t="str">
        <f aca="false">TEXT(B6/B5,"0.0%")</f>
        <v>29.5%</v>
      </c>
      <c r="D10" s="4" t="s">
        <v>16</v>
      </c>
      <c r="E10" s="4" t="n">
        <f aca="false">COUNTIF(任务清单!B:B,"批次4")</f>
        <v>5</v>
      </c>
      <c r="F10" s="4" t="n">
        <f aca="false">COUNTIFS(任务清单!B:B,"批次4",任务清单!G:G,"已完成")</f>
        <v>0</v>
      </c>
      <c r="G10" s="4" t="n">
        <f aca="false">COUNTIFS(任务清单!B:B,"批次4",任务清单!G:G,"进行中")</f>
        <v>0</v>
      </c>
      <c r="H10" s="4" t="str">
        <f aca="false">IF(E10=0,"-",TEXT(F10/E10,"0%"))</f>
        <v>0%</v>
      </c>
    </row>
    <row r="11" customFormat="false" ht="15" hidden="false" customHeight="false" outlineLevel="0" collapsed="false">
      <c r="D11" s="4" t="s">
        <v>17</v>
      </c>
      <c r="E11" s="4" t="n">
        <f aca="false">COUNTIF(任务清单!B:B,"批次5")</f>
        <v>7</v>
      </c>
      <c r="F11" s="4" t="n">
        <f aca="false">COUNTIFS(任务清单!B:B,"批次5",任务清单!G:G,"已完成")</f>
        <v>0</v>
      </c>
      <c r="G11" s="4" t="n">
        <f aca="false">COUNTIFS(任务清单!B:B,"批次5",任务清单!G:G,"进行中")</f>
        <v>0</v>
      </c>
      <c r="H11" s="4" t="str">
        <f aca="false">IF(E11=0,"-",TEXT(F11/E11,"0%"))</f>
        <v>0%</v>
      </c>
    </row>
    <row r="12" customFormat="false" ht="15" hidden="false" customHeight="false" outlineLevel="0" collapsed="false">
      <c r="D12" s="4" t="s">
        <v>18</v>
      </c>
      <c r="E12" s="4" t="n">
        <f aca="false">COUNTIF(任务清单!B:B,"批次6")</f>
        <v>3</v>
      </c>
      <c r="F12" s="4" t="n">
        <f aca="false">COUNTIFS(任务清单!B:B,"批次6",任务清单!G:G,"已完成")</f>
        <v>0</v>
      </c>
      <c r="G12" s="4" t="n">
        <f aca="false">COUNTIFS(任务清单!B:B,"批次6",任务清单!G:G,"进行中")</f>
        <v>0</v>
      </c>
      <c r="H12" s="4" t="str">
        <f aca="false">IF(E12=0,"-",TEXT(F12/E12,"0%"))</f>
        <v>0%</v>
      </c>
    </row>
    <row r="13" customFormat="false" ht="15" hidden="false" customHeight="false" outlineLevel="0" collapsed="false">
      <c r="D13" s="4" t="s">
        <v>19</v>
      </c>
      <c r="E13" s="4" t="n">
        <f aca="false">COUNTIF(任务清单!B:B,"批次7")</f>
        <v>1</v>
      </c>
      <c r="F13" s="4" t="n">
        <f aca="false">COUNTIFS(任务清单!B:B,"批次7",任务清单!G:G,"已完成")</f>
        <v>0</v>
      </c>
      <c r="G13" s="4" t="n">
        <f aca="false">COUNTIFS(任务清单!B:B,"批次7",任务清单!G:G,"进行中")</f>
        <v>0</v>
      </c>
      <c r="H13" s="4" t="str">
        <f aca="false">IF(E13=0,"-",TEXT(F13/E13,"0%"))</f>
        <v>0%</v>
      </c>
    </row>
    <row r="15" customFormat="false" ht="15" hidden="false" customHeight="false" outlineLevel="0" collapsed="false">
      <c r="A15" s="3" t="s">
        <v>20</v>
      </c>
    </row>
    <row r="16" customFormat="false" ht="15" hidden="false" customHeight="false" outlineLevel="0" collapsed="false">
      <c r="A16" s="4" t="s">
        <v>21</v>
      </c>
      <c r="B16" s="7" t="str">
        <f aca="false">COUNTIF(任务清单!L:L,"已完成")+COUNTIF(任务清单!L:L,"部分")&amp;" 项任务有用例"</f>
        <v>35 项任务有用例</v>
      </c>
      <c r="C16" s="7"/>
      <c r="D16" s="7"/>
    </row>
    <row r="17" customFormat="false" ht="15" hidden="false" customHeight="false" outlineLevel="0" collapsed="false">
      <c r="A17" s="4" t="s">
        <v>22</v>
      </c>
      <c r="B17" s="7" t="str">
        <f aca="false">COUNTIF(任务清单!M:M,"已完成")&amp;" 项"</f>
        <v>0 项</v>
      </c>
      <c r="C17" s="7"/>
      <c r="D17" s="7"/>
    </row>
    <row r="18" customFormat="false" ht="15" hidden="false" customHeight="false" outlineLevel="0" collapsed="false">
      <c r="A18" s="4" t="s">
        <v>23</v>
      </c>
      <c r="B18" s="7" t="str">
        <f aca="false">COUNTIF(任务清单!M:M,"未开始")+COUNTIF(任务清单!M:M,"未执行")&amp;" 项"</f>
        <v>33 项</v>
      </c>
      <c r="C18" s="7"/>
      <c r="D18" s="7"/>
    </row>
    <row r="19" customFormat="false" ht="15" hidden="false" customHeight="false" outlineLevel="0" collapsed="false">
      <c r="A19" s="4" t="s">
        <v>24</v>
      </c>
      <c r="B19" s="7" t="s">
        <v>25</v>
      </c>
      <c r="C19" s="7"/>
      <c r="D19" s="7"/>
    </row>
    <row r="20" customFormat="false" ht="15" hidden="false" customHeight="false" outlineLevel="0" collapsed="false">
      <c r="A20" s="7" t="s">
        <v>26</v>
      </c>
      <c r="B20" s="4" t="s">
        <v>27</v>
      </c>
      <c r="C20" s="4"/>
      <c r="D20" s="4"/>
    </row>
    <row r="22" customFormat="false" ht="15" hidden="false" customHeight="false" outlineLevel="0" collapsed="false">
      <c r="A22" s="3" t="s">
        <v>28</v>
      </c>
    </row>
    <row r="23" customFormat="false" ht="15" hidden="false" customHeight="false" outlineLevel="0" collapsed="false">
      <c r="A23" s="3" t="s">
        <v>29</v>
      </c>
    </row>
    <row r="24" customFormat="false" ht="15" hidden="false" customHeight="false" outlineLevel="0" collapsed="false">
      <c r="A24" s="8" t="s">
        <v>30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0" collapsed="false">
      <c r="A25" s="8" t="s">
        <v>31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8" t="s">
        <v>32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0" collapsed="false">
      <c r="A27" s="8" t="s">
        <v>33</v>
      </c>
      <c r="B27" s="8"/>
      <c r="C27" s="8"/>
      <c r="D27" s="8"/>
      <c r="E27" s="8"/>
      <c r="F27" s="8"/>
      <c r="G27" s="8"/>
      <c r="H27" s="8"/>
    </row>
    <row r="29" customFormat="false" ht="15" hidden="false" customHeight="false" outlineLevel="0" collapsed="false">
      <c r="A29" s="8" t="s">
        <v>34</v>
      </c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0" collapsed="false">
      <c r="A30" s="8" t="s">
        <v>35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8" t="s">
        <v>36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0" collapsed="false">
      <c r="A32" s="8" t="s">
        <v>37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0" collapsed="false">
      <c r="A33" s="8" t="s">
        <v>38</v>
      </c>
      <c r="B33" s="8"/>
      <c r="C33" s="8"/>
      <c r="D33" s="8"/>
      <c r="E33" s="8"/>
      <c r="F33" s="8"/>
      <c r="G33" s="8"/>
      <c r="H33" s="8"/>
    </row>
  </sheetData>
  <mergeCells count="14">
    <mergeCell ref="B16:D16"/>
    <mergeCell ref="B17:D17"/>
    <mergeCell ref="B18:D18"/>
    <mergeCell ref="B19:D19"/>
    <mergeCell ref="B20:D20"/>
    <mergeCell ref="A24:H24"/>
    <mergeCell ref="A25:H25"/>
    <mergeCell ref="A26:H26"/>
    <mergeCell ref="A27:H27"/>
    <mergeCell ref="A29:H29"/>
    <mergeCell ref="A30:H30"/>
    <mergeCell ref="A31:H31"/>
    <mergeCell ref="A32:H32"/>
    <mergeCell ref="A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42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26"/>
    <col collapsed="false" customWidth="true" hidden="false" outlineLevel="0" max="13" min="11" style="0" width="11"/>
    <col collapsed="false" customWidth="true" hidden="false" outlineLevel="0" max="14" min="14" style="0" width="20"/>
    <col collapsed="false" customWidth="true" hidden="false" outlineLevel="0" max="15" min="15" style="0" width="18"/>
  </cols>
  <sheetData>
    <row r="1" customFormat="false" ht="29.85" hidden="false" customHeight="false" outlineLevel="0" collapsed="false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6" t="s">
        <v>53</v>
      </c>
    </row>
    <row r="2" customFormat="false" ht="15" hidden="false" customHeight="false" outlineLevel="0" collapsed="false">
      <c r="A2" s="9" t="s">
        <v>54</v>
      </c>
      <c r="B2" s="10" t="s">
        <v>10</v>
      </c>
      <c r="C2" s="10" t="s">
        <v>55</v>
      </c>
      <c r="D2" s="10" t="s">
        <v>55</v>
      </c>
      <c r="E2" s="9" t="s">
        <v>56</v>
      </c>
      <c r="F2" s="9" t="s">
        <v>57</v>
      </c>
      <c r="G2" s="10" t="s">
        <v>7</v>
      </c>
      <c r="H2" s="10" t="s">
        <v>58</v>
      </c>
      <c r="I2" s="9" t="s">
        <v>59</v>
      </c>
      <c r="J2" s="10" t="s">
        <v>60</v>
      </c>
      <c r="K2" s="9" t="s">
        <v>59</v>
      </c>
      <c r="L2" s="9" t="s">
        <v>59</v>
      </c>
      <c r="M2" s="9" t="s">
        <v>59</v>
      </c>
      <c r="N2" s="9" t="s">
        <v>59</v>
      </c>
      <c r="O2" s="10"/>
    </row>
    <row r="3" customFormat="false" ht="15" hidden="false" customHeight="false" outlineLevel="0" collapsed="false">
      <c r="A3" s="9" t="s">
        <v>61</v>
      </c>
      <c r="B3" s="10" t="s">
        <v>10</v>
      </c>
      <c r="C3" s="10" t="s">
        <v>55</v>
      </c>
      <c r="D3" s="10" t="s">
        <v>55</v>
      </c>
      <c r="E3" s="9" t="s">
        <v>62</v>
      </c>
      <c r="F3" s="9" t="s">
        <v>57</v>
      </c>
      <c r="G3" s="10" t="s">
        <v>7</v>
      </c>
      <c r="H3" s="10" t="s">
        <v>58</v>
      </c>
      <c r="I3" s="9" t="s">
        <v>59</v>
      </c>
      <c r="J3" s="9" t="s">
        <v>63</v>
      </c>
      <c r="K3" s="9" t="s">
        <v>64</v>
      </c>
      <c r="L3" s="9" t="s">
        <v>59</v>
      </c>
      <c r="M3" s="9" t="s">
        <v>59</v>
      </c>
      <c r="N3" s="9" t="s">
        <v>59</v>
      </c>
      <c r="O3" s="9" t="s">
        <v>65</v>
      </c>
    </row>
    <row r="4" customFormat="false" ht="15" hidden="false" customHeight="false" outlineLevel="0" collapsed="false">
      <c r="A4" s="9" t="s">
        <v>66</v>
      </c>
      <c r="B4" s="10" t="s">
        <v>10</v>
      </c>
      <c r="C4" s="10" t="s">
        <v>55</v>
      </c>
      <c r="D4" s="10" t="s">
        <v>55</v>
      </c>
      <c r="E4" s="10" t="s">
        <v>67</v>
      </c>
      <c r="F4" s="9" t="s">
        <v>68</v>
      </c>
      <c r="G4" s="10" t="s">
        <v>7</v>
      </c>
      <c r="H4" s="10" t="s">
        <v>58</v>
      </c>
      <c r="I4" s="9" t="s">
        <v>61</v>
      </c>
      <c r="J4" s="10" t="s">
        <v>69</v>
      </c>
      <c r="K4" s="9" t="s">
        <v>64</v>
      </c>
      <c r="L4" s="9" t="s">
        <v>59</v>
      </c>
      <c r="M4" s="9" t="s">
        <v>59</v>
      </c>
      <c r="N4" s="9" t="s">
        <v>59</v>
      </c>
      <c r="O4" s="10"/>
    </row>
    <row r="5" customFormat="false" ht="15" hidden="false" customHeight="false" outlineLevel="0" collapsed="false">
      <c r="A5" s="9" t="s">
        <v>70</v>
      </c>
      <c r="B5" s="10" t="s">
        <v>10</v>
      </c>
      <c r="C5" s="10" t="s">
        <v>71</v>
      </c>
      <c r="D5" s="10" t="s">
        <v>71</v>
      </c>
      <c r="E5" s="9" t="s">
        <v>72</v>
      </c>
      <c r="F5" s="9" t="s">
        <v>57</v>
      </c>
      <c r="G5" s="10" t="s">
        <v>7</v>
      </c>
      <c r="H5" s="10" t="s">
        <v>58</v>
      </c>
      <c r="I5" s="9" t="s">
        <v>59</v>
      </c>
      <c r="J5" s="10" t="s">
        <v>73</v>
      </c>
      <c r="K5" s="9" t="s">
        <v>59</v>
      </c>
      <c r="L5" s="9" t="s">
        <v>59</v>
      </c>
      <c r="M5" s="9" t="s">
        <v>59</v>
      </c>
      <c r="N5" s="9" t="s">
        <v>74</v>
      </c>
      <c r="O5" s="10"/>
    </row>
    <row r="6" customFormat="false" ht="23.85" hidden="false" customHeight="false" outlineLevel="0" collapsed="false">
      <c r="A6" s="9" t="s">
        <v>75</v>
      </c>
      <c r="B6" s="10" t="s">
        <v>10</v>
      </c>
      <c r="C6" s="10" t="s">
        <v>71</v>
      </c>
      <c r="D6" s="10" t="s">
        <v>71</v>
      </c>
      <c r="E6" s="9" t="s">
        <v>76</v>
      </c>
      <c r="F6" s="9" t="s">
        <v>68</v>
      </c>
      <c r="G6" s="10" t="s">
        <v>7</v>
      </c>
      <c r="H6" s="10" t="s">
        <v>58</v>
      </c>
      <c r="I6" s="9" t="s">
        <v>70</v>
      </c>
      <c r="J6" s="10" t="s">
        <v>73</v>
      </c>
      <c r="K6" s="9" t="s">
        <v>59</v>
      </c>
      <c r="L6" s="9" t="s">
        <v>59</v>
      </c>
      <c r="M6" s="9" t="s">
        <v>59</v>
      </c>
      <c r="N6" s="9" t="s">
        <v>77</v>
      </c>
      <c r="O6" s="10"/>
    </row>
    <row r="7" customFormat="false" ht="23.85" hidden="false" customHeight="false" outlineLevel="0" collapsed="false">
      <c r="A7" s="9" t="s">
        <v>78</v>
      </c>
      <c r="B7" s="10" t="s">
        <v>10</v>
      </c>
      <c r="C7" s="10" t="s">
        <v>71</v>
      </c>
      <c r="D7" s="10" t="s">
        <v>71</v>
      </c>
      <c r="E7" s="10" t="s">
        <v>79</v>
      </c>
      <c r="F7" s="9" t="s">
        <v>57</v>
      </c>
      <c r="G7" s="10" t="s">
        <v>7</v>
      </c>
      <c r="H7" s="10" t="s">
        <v>80</v>
      </c>
      <c r="I7" s="9" t="s">
        <v>70</v>
      </c>
      <c r="J7" s="10" t="s">
        <v>81</v>
      </c>
      <c r="K7" s="9" t="s">
        <v>59</v>
      </c>
      <c r="L7" s="9" t="s">
        <v>59</v>
      </c>
      <c r="M7" s="9" t="s">
        <v>59</v>
      </c>
      <c r="N7" s="9" t="s">
        <v>82</v>
      </c>
      <c r="O7" s="10"/>
    </row>
    <row r="8" customFormat="false" ht="15" hidden="false" customHeight="false" outlineLevel="0" collapsed="false">
      <c r="A8" s="9" t="s">
        <v>83</v>
      </c>
      <c r="B8" s="10" t="s">
        <v>11</v>
      </c>
      <c r="C8" s="10" t="s">
        <v>84</v>
      </c>
      <c r="D8" s="10" t="s">
        <v>84</v>
      </c>
      <c r="E8" s="10" t="s">
        <v>85</v>
      </c>
      <c r="F8" s="9" t="s">
        <v>57</v>
      </c>
      <c r="G8" s="10" t="s">
        <v>7</v>
      </c>
      <c r="H8" s="10" t="s">
        <v>86</v>
      </c>
      <c r="I8" s="9" t="s">
        <v>78</v>
      </c>
      <c r="J8" s="9" t="s">
        <v>87</v>
      </c>
      <c r="K8" s="9" t="s">
        <v>59</v>
      </c>
      <c r="L8" s="9" t="s">
        <v>59</v>
      </c>
      <c r="M8" s="9" t="s">
        <v>59</v>
      </c>
      <c r="N8" s="9" t="s">
        <v>88</v>
      </c>
      <c r="O8" s="9" t="s">
        <v>89</v>
      </c>
    </row>
    <row r="9" customFormat="false" ht="29.85" hidden="false" customHeight="false" outlineLevel="0" collapsed="false">
      <c r="A9" s="9" t="s">
        <v>90</v>
      </c>
      <c r="B9" s="10" t="s">
        <v>11</v>
      </c>
      <c r="C9" s="10" t="s">
        <v>84</v>
      </c>
      <c r="D9" s="10" t="s">
        <v>84</v>
      </c>
      <c r="E9" s="10" t="s">
        <v>91</v>
      </c>
      <c r="F9" s="9" t="s">
        <v>57</v>
      </c>
      <c r="G9" s="10" t="s">
        <v>7</v>
      </c>
      <c r="H9" s="10" t="s">
        <v>92</v>
      </c>
      <c r="I9" s="9" t="s">
        <v>83</v>
      </c>
      <c r="J9" s="10" t="s">
        <v>93</v>
      </c>
      <c r="K9" s="9" t="s">
        <v>94</v>
      </c>
      <c r="L9" s="9" t="s">
        <v>59</v>
      </c>
      <c r="M9" s="9" t="s">
        <v>59</v>
      </c>
      <c r="N9" s="9" t="s">
        <v>95</v>
      </c>
      <c r="O9" s="10" t="s">
        <v>96</v>
      </c>
    </row>
    <row r="10" customFormat="false" ht="15" hidden="false" customHeight="false" outlineLevel="0" collapsed="false">
      <c r="A10" s="9" t="s">
        <v>97</v>
      </c>
      <c r="B10" s="10" t="s">
        <v>11</v>
      </c>
      <c r="C10" s="10" t="s">
        <v>84</v>
      </c>
      <c r="D10" s="10" t="s">
        <v>84</v>
      </c>
      <c r="E10" s="10" t="s">
        <v>98</v>
      </c>
      <c r="F10" s="9" t="s">
        <v>99</v>
      </c>
      <c r="G10" s="10" t="s">
        <v>7</v>
      </c>
      <c r="H10" s="10" t="s">
        <v>86</v>
      </c>
      <c r="I10" s="9" t="s">
        <v>83</v>
      </c>
      <c r="J10" s="10" t="s">
        <v>100</v>
      </c>
      <c r="K10" s="9" t="s">
        <v>59</v>
      </c>
      <c r="L10" s="9" t="s">
        <v>59</v>
      </c>
      <c r="M10" s="9" t="s">
        <v>59</v>
      </c>
      <c r="N10" s="9" t="s">
        <v>101</v>
      </c>
      <c r="O10" s="10"/>
    </row>
    <row r="11" customFormat="false" ht="29.85" hidden="false" customHeight="false" outlineLevel="0" collapsed="false">
      <c r="A11" s="9" t="s">
        <v>102</v>
      </c>
      <c r="B11" s="10" t="s">
        <v>11</v>
      </c>
      <c r="C11" s="10" t="s">
        <v>84</v>
      </c>
      <c r="D11" s="10" t="s">
        <v>84</v>
      </c>
      <c r="E11" s="9" t="s">
        <v>103</v>
      </c>
      <c r="F11" s="9" t="s">
        <v>68</v>
      </c>
      <c r="G11" s="10" t="s">
        <v>7</v>
      </c>
      <c r="H11" s="10" t="s">
        <v>86</v>
      </c>
      <c r="I11" s="9" t="s">
        <v>97</v>
      </c>
      <c r="J11" s="9" t="s">
        <v>104</v>
      </c>
      <c r="K11" s="9" t="s">
        <v>59</v>
      </c>
      <c r="L11" s="9" t="s">
        <v>59</v>
      </c>
      <c r="M11" s="9" t="s">
        <v>59</v>
      </c>
      <c r="N11" s="9" t="s">
        <v>105</v>
      </c>
      <c r="O11" s="10" t="s">
        <v>106</v>
      </c>
    </row>
    <row r="12" customFormat="false" ht="29.85" hidden="false" customHeight="false" outlineLevel="0" collapsed="false">
      <c r="A12" s="9" t="s">
        <v>107</v>
      </c>
      <c r="B12" s="10" t="s">
        <v>11</v>
      </c>
      <c r="C12" s="10" t="s">
        <v>84</v>
      </c>
      <c r="D12" s="10" t="s">
        <v>84</v>
      </c>
      <c r="E12" s="9" t="s">
        <v>108</v>
      </c>
      <c r="F12" s="9" t="s">
        <v>57</v>
      </c>
      <c r="G12" s="10" t="s">
        <v>7</v>
      </c>
      <c r="H12" s="10" t="s">
        <v>86</v>
      </c>
      <c r="I12" s="9" t="s">
        <v>83</v>
      </c>
      <c r="J12" s="9" t="s">
        <v>109</v>
      </c>
      <c r="K12" s="9" t="s">
        <v>59</v>
      </c>
      <c r="L12" s="10" t="s">
        <v>7</v>
      </c>
      <c r="M12" s="9" t="s">
        <v>59</v>
      </c>
      <c r="N12" s="9" t="s">
        <v>110</v>
      </c>
      <c r="O12" s="9" t="s">
        <v>111</v>
      </c>
    </row>
    <row r="13" customFormat="false" ht="26.85" hidden="false" customHeight="false" outlineLevel="0" collapsed="false">
      <c r="A13" s="9" t="s">
        <v>112</v>
      </c>
      <c r="B13" s="10" t="s">
        <v>11</v>
      </c>
      <c r="C13" s="10" t="s">
        <v>84</v>
      </c>
      <c r="D13" s="10" t="s">
        <v>84</v>
      </c>
      <c r="E13" s="9" t="s">
        <v>113</v>
      </c>
      <c r="F13" s="9" t="s">
        <v>57</v>
      </c>
      <c r="G13" s="10" t="s">
        <v>7</v>
      </c>
      <c r="H13" s="10" t="s">
        <v>86</v>
      </c>
      <c r="I13" s="9" t="s">
        <v>83</v>
      </c>
      <c r="J13" s="9" t="s">
        <v>114</v>
      </c>
      <c r="K13" s="9" t="s">
        <v>59</v>
      </c>
      <c r="L13" s="10" t="s">
        <v>7</v>
      </c>
      <c r="M13" s="9" t="s">
        <v>59</v>
      </c>
      <c r="N13" s="9" t="s">
        <v>115</v>
      </c>
      <c r="O13" s="9" t="s">
        <v>116</v>
      </c>
    </row>
    <row r="14" customFormat="false" ht="29.85" hidden="false" customHeight="false" outlineLevel="0" collapsed="false">
      <c r="A14" s="9" t="s">
        <v>117</v>
      </c>
      <c r="B14" s="10" t="s">
        <v>11</v>
      </c>
      <c r="C14" s="10" t="s">
        <v>84</v>
      </c>
      <c r="D14" s="10" t="s">
        <v>84</v>
      </c>
      <c r="E14" s="10" t="s">
        <v>118</v>
      </c>
      <c r="F14" s="9" t="s">
        <v>57</v>
      </c>
      <c r="G14" s="10" t="s">
        <v>7</v>
      </c>
      <c r="H14" s="10" t="s">
        <v>86</v>
      </c>
      <c r="I14" s="9" t="s">
        <v>112</v>
      </c>
      <c r="J14" s="9" t="s">
        <v>119</v>
      </c>
      <c r="K14" s="9" t="s">
        <v>59</v>
      </c>
      <c r="L14" s="10" t="s">
        <v>7</v>
      </c>
      <c r="M14" s="9" t="s">
        <v>59</v>
      </c>
      <c r="N14" s="9" t="s">
        <v>120</v>
      </c>
      <c r="O14" s="9" t="s">
        <v>121</v>
      </c>
    </row>
    <row r="15" customFormat="false" ht="15" hidden="false" customHeight="false" outlineLevel="0" collapsed="false">
      <c r="A15" s="9" t="s">
        <v>122</v>
      </c>
      <c r="B15" s="10" t="s">
        <v>10</v>
      </c>
      <c r="C15" s="10" t="s">
        <v>55</v>
      </c>
      <c r="D15" s="10" t="s">
        <v>123</v>
      </c>
      <c r="E15" s="9" t="s">
        <v>124</v>
      </c>
      <c r="F15" s="9" t="s">
        <v>68</v>
      </c>
      <c r="G15" s="10" t="s">
        <v>7</v>
      </c>
      <c r="H15" s="9" t="s">
        <v>125</v>
      </c>
      <c r="I15" s="9" t="s">
        <v>59</v>
      </c>
      <c r="J15" s="10" t="s">
        <v>126</v>
      </c>
      <c r="K15" s="9" t="s">
        <v>59</v>
      </c>
      <c r="L15" s="9" t="s">
        <v>59</v>
      </c>
      <c r="M15" s="9" t="s">
        <v>59</v>
      </c>
      <c r="N15" s="9" t="s">
        <v>127</v>
      </c>
      <c r="O15" s="10" t="s">
        <v>128</v>
      </c>
    </row>
    <row r="16" customFormat="false" ht="15" hidden="false" customHeight="false" outlineLevel="0" collapsed="false">
      <c r="A16" s="9" t="s">
        <v>129</v>
      </c>
      <c r="B16" s="10" t="s">
        <v>10</v>
      </c>
      <c r="C16" s="10" t="s">
        <v>55</v>
      </c>
      <c r="D16" s="10" t="s">
        <v>123</v>
      </c>
      <c r="E16" s="9" t="s">
        <v>130</v>
      </c>
      <c r="F16" s="9" t="s">
        <v>68</v>
      </c>
      <c r="G16" s="10" t="s">
        <v>7</v>
      </c>
      <c r="H16" s="9" t="s">
        <v>125</v>
      </c>
      <c r="I16" s="9" t="s">
        <v>59</v>
      </c>
      <c r="J16" s="10" t="s">
        <v>131</v>
      </c>
      <c r="K16" s="9" t="s">
        <v>59</v>
      </c>
      <c r="L16" s="9" t="s">
        <v>59</v>
      </c>
      <c r="M16" s="9" t="s">
        <v>59</v>
      </c>
      <c r="N16" s="9" t="s">
        <v>132</v>
      </c>
      <c r="O16" s="10"/>
    </row>
    <row r="17" customFormat="false" ht="35.05" hidden="false" customHeight="false" outlineLevel="0" collapsed="false">
      <c r="A17" s="9" t="s">
        <v>133</v>
      </c>
      <c r="B17" s="10" t="s">
        <v>10</v>
      </c>
      <c r="C17" s="10" t="s">
        <v>55</v>
      </c>
      <c r="D17" s="10" t="s">
        <v>134</v>
      </c>
      <c r="E17" s="10" t="s">
        <v>135</v>
      </c>
      <c r="F17" s="9" t="s">
        <v>68</v>
      </c>
      <c r="G17" s="10" t="s">
        <v>7</v>
      </c>
      <c r="H17" s="9" t="s">
        <v>125</v>
      </c>
      <c r="I17" s="9" t="s">
        <v>59</v>
      </c>
      <c r="J17" s="10" t="s">
        <v>73</v>
      </c>
      <c r="K17" s="10" t="s">
        <v>136</v>
      </c>
      <c r="L17" s="9" t="s">
        <v>59</v>
      </c>
      <c r="M17" s="9" t="s">
        <v>59</v>
      </c>
      <c r="N17" s="9" t="s">
        <v>137</v>
      </c>
      <c r="O17" s="10"/>
    </row>
    <row r="18" customFormat="false" ht="15" hidden="false" customHeight="false" outlineLevel="0" collapsed="false">
      <c r="A18" s="9" t="s">
        <v>138</v>
      </c>
      <c r="B18" s="10" t="s">
        <v>10</v>
      </c>
      <c r="C18" s="10" t="s">
        <v>55</v>
      </c>
      <c r="D18" s="10" t="s">
        <v>134</v>
      </c>
      <c r="E18" s="10" t="s">
        <v>139</v>
      </c>
      <c r="F18" s="9" t="s">
        <v>68</v>
      </c>
      <c r="G18" s="10" t="s">
        <v>7</v>
      </c>
      <c r="H18" s="9" t="s">
        <v>125</v>
      </c>
      <c r="I18" s="9" t="s">
        <v>133</v>
      </c>
      <c r="J18" s="10" t="s">
        <v>140</v>
      </c>
      <c r="K18" s="10" t="s">
        <v>136</v>
      </c>
      <c r="L18" s="10" t="s">
        <v>7</v>
      </c>
      <c r="M18" s="9" t="s">
        <v>59</v>
      </c>
      <c r="N18" s="9" t="s">
        <v>141</v>
      </c>
      <c r="O18" s="10"/>
    </row>
    <row r="19" customFormat="false" ht="29.85" hidden="false" customHeight="false" outlineLevel="0" collapsed="false">
      <c r="A19" s="9" t="s">
        <v>142</v>
      </c>
      <c r="B19" s="10" t="s">
        <v>10</v>
      </c>
      <c r="C19" s="10" t="s">
        <v>55</v>
      </c>
      <c r="D19" s="10" t="s">
        <v>134</v>
      </c>
      <c r="E19" s="9" t="s">
        <v>143</v>
      </c>
      <c r="F19" s="9" t="s">
        <v>68</v>
      </c>
      <c r="G19" s="10" t="s">
        <v>7</v>
      </c>
      <c r="H19" s="9" t="s">
        <v>125</v>
      </c>
      <c r="I19" s="9" t="s">
        <v>138</v>
      </c>
      <c r="J19" s="10" t="s">
        <v>144</v>
      </c>
      <c r="K19" s="9" t="s">
        <v>145</v>
      </c>
      <c r="L19" s="10" t="s">
        <v>7</v>
      </c>
      <c r="M19" s="10" t="s">
        <v>146</v>
      </c>
      <c r="N19" s="9" t="s">
        <v>147</v>
      </c>
      <c r="O19" s="10" t="s">
        <v>148</v>
      </c>
    </row>
    <row r="20" customFormat="false" ht="26.85" hidden="false" customHeight="false" outlineLevel="0" collapsed="false">
      <c r="A20" s="11" t="s">
        <v>149</v>
      </c>
      <c r="B20" s="12" t="s">
        <v>11</v>
      </c>
      <c r="C20" s="12" t="s">
        <v>55</v>
      </c>
      <c r="D20" s="12" t="s">
        <v>123</v>
      </c>
      <c r="E20" s="11" t="s">
        <v>150</v>
      </c>
      <c r="F20" s="11" t="s">
        <v>68</v>
      </c>
      <c r="G20" s="12" t="s">
        <v>8</v>
      </c>
      <c r="H20" s="12" t="s">
        <v>151</v>
      </c>
      <c r="I20" s="11" t="s">
        <v>138</v>
      </c>
      <c r="J20" s="11" t="s">
        <v>152</v>
      </c>
      <c r="K20" s="11" t="s">
        <v>59</v>
      </c>
      <c r="L20" s="11" t="s">
        <v>59</v>
      </c>
      <c r="M20" s="11" t="s">
        <v>59</v>
      </c>
      <c r="N20" s="11" t="s">
        <v>153</v>
      </c>
      <c r="O20" s="12" t="s">
        <v>154</v>
      </c>
    </row>
    <row r="21" customFormat="false" ht="29.85" hidden="false" customHeight="false" outlineLevel="0" collapsed="false">
      <c r="A21" s="11" t="s">
        <v>155</v>
      </c>
      <c r="B21" s="12" t="s">
        <v>11</v>
      </c>
      <c r="C21" s="12" t="s">
        <v>55</v>
      </c>
      <c r="D21" s="12" t="s">
        <v>123</v>
      </c>
      <c r="E21" s="12" t="s">
        <v>156</v>
      </c>
      <c r="F21" s="11" t="s">
        <v>57</v>
      </c>
      <c r="G21" s="12" t="s">
        <v>8</v>
      </c>
      <c r="H21" s="12" t="s">
        <v>58</v>
      </c>
      <c r="I21" s="11" t="s">
        <v>66</v>
      </c>
      <c r="J21" s="11" t="s">
        <v>157</v>
      </c>
      <c r="K21" s="11" t="s">
        <v>64</v>
      </c>
      <c r="L21" s="11" t="s">
        <v>59</v>
      </c>
      <c r="M21" s="12" t="s">
        <v>146</v>
      </c>
      <c r="N21" s="11" t="s">
        <v>158</v>
      </c>
      <c r="O21" s="12" t="s">
        <v>159</v>
      </c>
    </row>
    <row r="22" customFormat="false" ht="15" hidden="false" customHeight="false" outlineLevel="0" collapsed="false">
      <c r="A22" s="11" t="s">
        <v>160</v>
      </c>
      <c r="B22" s="12" t="s">
        <v>11</v>
      </c>
      <c r="C22" s="12" t="s">
        <v>55</v>
      </c>
      <c r="D22" s="12" t="s">
        <v>161</v>
      </c>
      <c r="E22" s="12" t="s">
        <v>162</v>
      </c>
      <c r="F22" s="11" t="s">
        <v>68</v>
      </c>
      <c r="G22" s="12" t="s">
        <v>8</v>
      </c>
      <c r="H22" s="12" t="s">
        <v>58</v>
      </c>
      <c r="I22" s="11" t="s">
        <v>142</v>
      </c>
      <c r="J22" s="12" t="s">
        <v>163</v>
      </c>
      <c r="K22" s="11" t="s">
        <v>145</v>
      </c>
      <c r="L22" s="12" t="s">
        <v>7</v>
      </c>
      <c r="M22" s="12" t="s">
        <v>146</v>
      </c>
      <c r="N22" s="11" t="s">
        <v>164</v>
      </c>
      <c r="O22" s="11" t="s">
        <v>165</v>
      </c>
    </row>
    <row r="23" customFormat="false" ht="29.85" hidden="false" customHeight="false" outlineLevel="0" collapsed="false">
      <c r="A23" s="13" t="s">
        <v>166</v>
      </c>
      <c r="B23" s="14" t="s">
        <v>11</v>
      </c>
      <c r="C23" s="14" t="s">
        <v>55</v>
      </c>
      <c r="D23" s="14" t="s">
        <v>161</v>
      </c>
      <c r="E23" s="14" t="s">
        <v>167</v>
      </c>
      <c r="F23" s="13" t="s">
        <v>68</v>
      </c>
      <c r="G23" s="14" t="s">
        <v>12</v>
      </c>
      <c r="H23" s="13" t="s">
        <v>125</v>
      </c>
      <c r="I23" s="13" t="s">
        <v>160</v>
      </c>
      <c r="J23" s="13" t="s">
        <v>168</v>
      </c>
      <c r="K23" s="13" t="s">
        <v>169</v>
      </c>
      <c r="L23" s="13" t="s">
        <v>59</v>
      </c>
      <c r="M23" s="13" t="s">
        <v>59</v>
      </c>
      <c r="N23" s="13" t="s">
        <v>170</v>
      </c>
      <c r="O23" s="14"/>
    </row>
    <row r="24" customFormat="false" ht="15" hidden="false" customHeight="false" outlineLevel="0" collapsed="false">
      <c r="A24" s="15" t="s">
        <v>171</v>
      </c>
      <c r="B24" s="16" t="s">
        <v>11</v>
      </c>
      <c r="C24" s="16" t="s">
        <v>55</v>
      </c>
      <c r="D24" s="16" t="s">
        <v>161</v>
      </c>
      <c r="E24" s="15" t="s">
        <v>172</v>
      </c>
      <c r="F24" s="15" t="s">
        <v>68</v>
      </c>
      <c r="G24" s="16" t="s">
        <v>12</v>
      </c>
      <c r="H24" s="16" t="s">
        <v>58</v>
      </c>
      <c r="I24" s="15" t="s">
        <v>155</v>
      </c>
      <c r="J24" s="16" t="s">
        <v>173</v>
      </c>
      <c r="K24" s="15" t="s">
        <v>59</v>
      </c>
      <c r="L24" s="15" t="s">
        <v>59</v>
      </c>
      <c r="M24" s="15" t="s">
        <v>59</v>
      </c>
      <c r="N24" s="15" t="s">
        <v>59</v>
      </c>
      <c r="O24" s="16"/>
    </row>
    <row r="25" customFormat="false" ht="29.85" hidden="false" customHeight="false" outlineLevel="0" collapsed="false">
      <c r="A25" s="13" t="s">
        <v>174</v>
      </c>
      <c r="B25" s="14" t="s">
        <v>11</v>
      </c>
      <c r="C25" s="14" t="s">
        <v>55</v>
      </c>
      <c r="D25" s="14" t="s">
        <v>175</v>
      </c>
      <c r="E25" s="14" t="s">
        <v>176</v>
      </c>
      <c r="F25" s="13" t="s">
        <v>68</v>
      </c>
      <c r="G25" s="14" t="s">
        <v>12</v>
      </c>
      <c r="H25" s="14" t="s">
        <v>58</v>
      </c>
      <c r="I25" s="13" t="s">
        <v>59</v>
      </c>
      <c r="J25" s="14" t="s">
        <v>177</v>
      </c>
      <c r="K25" s="13" t="s">
        <v>178</v>
      </c>
      <c r="L25" s="14" t="s">
        <v>7</v>
      </c>
      <c r="M25" s="14" t="s">
        <v>146</v>
      </c>
      <c r="N25" s="13" t="s">
        <v>179</v>
      </c>
      <c r="O25" s="14" t="s">
        <v>180</v>
      </c>
    </row>
    <row r="26" customFormat="false" ht="29.85" hidden="false" customHeight="false" outlineLevel="0" collapsed="false">
      <c r="A26" s="11" t="s">
        <v>181</v>
      </c>
      <c r="B26" s="12" t="s">
        <v>11</v>
      </c>
      <c r="C26" s="12" t="s">
        <v>84</v>
      </c>
      <c r="D26" s="12" t="s">
        <v>84</v>
      </c>
      <c r="E26" s="12" t="s">
        <v>182</v>
      </c>
      <c r="F26" s="11" t="s">
        <v>57</v>
      </c>
      <c r="G26" s="12" t="s">
        <v>8</v>
      </c>
      <c r="H26" s="11" t="s">
        <v>183</v>
      </c>
      <c r="I26" s="11" t="s">
        <v>83</v>
      </c>
      <c r="J26" s="11" t="s">
        <v>184</v>
      </c>
      <c r="K26" s="11" t="s">
        <v>59</v>
      </c>
      <c r="L26" s="11" t="s">
        <v>59</v>
      </c>
      <c r="M26" s="11" t="s">
        <v>59</v>
      </c>
      <c r="N26" s="11" t="s">
        <v>185</v>
      </c>
      <c r="O26" s="12" t="s">
        <v>186</v>
      </c>
    </row>
    <row r="27" customFormat="false" ht="29.85" hidden="false" customHeight="false" outlineLevel="0" collapsed="false">
      <c r="A27" s="13" t="s">
        <v>187</v>
      </c>
      <c r="B27" s="14" t="s">
        <v>11</v>
      </c>
      <c r="C27" s="14" t="s">
        <v>84</v>
      </c>
      <c r="D27" s="14" t="s">
        <v>84</v>
      </c>
      <c r="E27" s="14" t="s">
        <v>188</v>
      </c>
      <c r="F27" s="13" t="s">
        <v>57</v>
      </c>
      <c r="G27" s="14" t="s">
        <v>12</v>
      </c>
      <c r="H27" s="13" t="s">
        <v>183</v>
      </c>
      <c r="I27" s="13" t="s">
        <v>181</v>
      </c>
      <c r="J27" s="14" t="s">
        <v>189</v>
      </c>
      <c r="K27" s="13" t="s">
        <v>59</v>
      </c>
      <c r="L27" s="14" t="s">
        <v>7</v>
      </c>
      <c r="M27" s="13" t="s">
        <v>59</v>
      </c>
      <c r="N27" s="13" t="s">
        <v>190</v>
      </c>
      <c r="O27" s="14" t="s">
        <v>191</v>
      </c>
    </row>
    <row r="28" customFormat="false" ht="15" hidden="false" customHeight="false" outlineLevel="0" collapsed="false">
      <c r="A28" s="15" t="s">
        <v>192</v>
      </c>
      <c r="B28" s="16" t="s">
        <v>11</v>
      </c>
      <c r="C28" s="16" t="s">
        <v>84</v>
      </c>
      <c r="D28" s="16" t="s">
        <v>84</v>
      </c>
      <c r="E28" s="16" t="s">
        <v>193</v>
      </c>
      <c r="F28" s="15" t="s">
        <v>68</v>
      </c>
      <c r="G28" s="16" t="s">
        <v>12</v>
      </c>
      <c r="H28" s="15" t="s">
        <v>125</v>
      </c>
      <c r="I28" s="15" t="s">
        <v>90</v>
      </c>
      <c r="J28" s="16" t="s">
        <v>194</v>
      </c>
      <c r="K28" s="15" t="s">
        <v>59</v>
      </c>
      <c r="L28" s="15" t="s">
        <v>59</v>
      </c>
      <c r="M28" s="15" t="s">
        <v>59</v>
      </c>
      <c r="N28" s="15" t="s">
        <v>59</v>
      </c>
      <c r="O28" s="16"/>
    </row>
    <row r="29" customFormat="false" ht="15" hidden="false" customHeight="false" outlineLevel="0" collapsed="false">
      <c r="A29" s="13" t="s">
        <v>195</v>
      </c>
      <c r="B29" s="14" t="s">
        <v>11</v>
      </c>
      <c r="C29" s="14" t="s">
        <v>55</v>
      </c>
      <c r="D29" s="14" t="s">
        <v>196</v>
      </c>
      <c r="E29" s="14" t="s">
        <v>197</v>
      </c>
      <c r="F29" s="13" t="s">
        <v>57</v>
      </c>
      <c r="G29" s="14" t="s">
        <v>12</v>
      </c>
      <c r="H29" s="14" t="s">
        <v>58</v>
      </c>
      <c r="I29" s="13" t="s">
        <v>83</v>
      </c>
      <c r="J29" s="14" t="s">
        <v>198</v>
      </c>
      <c r="K29" s="13" t="s">
        <v>59</v>
      </c>
      <c r="L29" s="13" t="s">
        <v>59</v>
      </c>
      <c r="M29" s="13" t="s">
        <v>59</v>
      </c>
      <c r="N29" s="13" t="s">
        <v>88</v>
      </c>
      <c r="O29" s="14" t="s">
        <v>199</v>
      </c>
    </row>
    <row r="30" customFormat="false" ht="29.85" hidden="false" customHeight="false" outlineLevel="0" collapsed="false">
      <c r="A30" s="15" t="s">
        <v>200</v>
      </c>
      <c r="B30" s="16" t="s">
        <v>13</v>
      </c>
      <c r="C30" s="16" t="s">
        <v>201</v>
      </c>
      <c r="D30" s="16" t="s">
        <v>202</v>
      </c>
      <c r="E30" s="16" t="s">
        <v>203</v>
      </c>
      <c r="F30" s="15" t="s">
        <v>57</v>
      </c>
      <c r="G30" s="16" t="s">
        <v>12</v>
      </c>
      <c r="H30" s="15" t="s">
        <v>125</v>
      </c>
      <c r="I30" s="15" t="s">
        <v>204</v>
      </c>
      <c r="J30" s="16" t="s">
        <v>205</v>
      </c>
      <c r="K30" s="15" t="s">
        <v>94</v>
      </c>
      <c r="L30" s="16" t="s">
        <v>7</v>
      </c>
      <c r="M30" s="16" t="s">
        <v>12</v>
      </c>
      <c r="N30" s="15" t="s">
        <v>206</v>
      </c>
      <c r="O30" s="15" t="s">
        <v>207</v>
      </c>
    </row>
    <row r="31" customFormat="false" ht="15" hidden="false" customHeight="false" outlineLevel="0" collapsed="false">
      <c r="A31" s="13" t="s">
        <v>208</v>
      </c>
      <c r="B31" s="14" t="s">
        <v>13</v>
      </c>
      <c r="C31" s="14" t="s">
        <v>201</v>
      </c>
      <c r="D31" s="14" t="s">
        <v>202</v>
      </c>
      <c r="E31" s="14" t="s">
        <v>209</v>
      </c>
      <c r="F31" s="13" t="s">
        <v>57</v>
      </c>
      <c r="G31" s="14" t="s">
        <v>12</v>
      </c>
      <c r="H31" s="13" t="s">
        <v>125</v>
      </c>
      <c r="I31" s="13" t="s">
        <v>200</v>
      </c>
      <c r="J31" s="13" t="s">
        <v>210</v>
      </c>
      <c r="K31" s="13" t="s">
        <v>211</v>
      </c>
      <c r="L31" s="14" t="s">
        <v>7</v>
      </c>
      <c r="M31" s="14" t="s">
        <v>12</v>
      </c>
      <c r="N31" s="13" t="s">
        <v>212</v>
      </c>
      <c r="O31" s="14"/>
    </row>
    <row r="32" customFormat="false" ht="15" hidden="false" customHeight="false" outlineLevel="0" collapsed="false">
      <c r="A32" s="15" t="s">
        <v>213</v>
      </c>
      <c r="B32" s="16" t="s">
        <v>13</v>
      </c>
      <c r="C32" s="16" t="s">
        <v>201</v>
      </c>
      <c r="D32" s="16" t="s">
        <v>202</v>
      </c>
      <c r="E32" s="16" t="s">
        <v>214</v>
      </c>
      <c r="F32" s="15" t="s">
        <v>57</v>
      </c>
      <c r="G32" s="16" t="s">
        <v>12</v>
      </c>
      <c r="H32" s="15" t="s">
        <v>125</v>
      </c>
      <c r="I32" s="15" t="s">
        <v>208</v>
      </c>
      <c r="J32" s="15" t="s">
        <v>215</v>
      </c>
      <c r="K32" s="15" t="s">
        <v>216</v>
      </c>
      <c r="L32" s="16" t="s">
        <v>7</v>
      </c>
      <c r="M32" s="16" t="s">
        <v>12</v>
      </c>
      <c r="N32" s="15" t="s">
        <v>217</v>
      </c>
      <c r="O32" s="16" t="s">
        <v>218</v>
      </c>
    </row>
    <row r="33" customFormat="false" ht="15" hidden="false" customHeight="false" outlineLevel="0" collapsed="false">
      <c r="A33" s="13" t="s">
        <v>219</v>
      </c>
      <c r="B33" s="14" t="s">
        <v>13</v>
      </c>
      <c r="C33" s="14" t="s">
        <v>201</v>
      </c>
      <c r="D33" s="14" t="s">
        <v>202</v>
      </c>
      <c r="E33" s="14" t="s">
        <v>220</v>
      </c>
      <c r="F33" s="13" t="s">
        <v>57</v>
      </c>
      <c r="G33" s="14" t="s">
        <v>12</v>
      </c>
      <c r="H33" s="13" t="s">
        <v>125</v>
      </c>
      <c r="I33" s="13" t="s">
        <v>213</v>
      </c>
      <c r="J33" s="13" t="s">
        <v>221</v>
      </c>
      <c r="K33" s="13" t="s">
        <v>222</v>
      </c>
      <c r="L33" s="14" t="s">
        <v>7</v>
      </c>
      <c r="M33" s="14" t="s">
        <v>12</v>
      </c>
      <c r="N33" s="13" t="s">
        <v>223</v>
      </c>
      <c r="O33" s="14"/>
    </row>
    <row r="34" customFormat="false" ht="15" hidden="false" customHeight="false" outlineLevel="0" collapsed="false">
      <c r="A34" s="15" t="s">
        <v>224</v>
      </c>
      <c r="B34" s="16" t="s">
        <v>13</v>
      </c>
      <c r="C34" s="16" t="s">
        <v>201</v>
      </c>
      <c r="D34" s="16" t="s">
        <v>225</v>
      </c>
      <c r="E34" s="16" t="s">
        <v>226</v>
      </c>
      <c r="F34" s="15" t="s">
        <v>68</v>
      </c>
      <c r="G34" s="16" t="s">
        <v>12</v>
      </c>
      <c r="H34" s="15" t="s">
        <v>125</v>
      </c>
      <c r="I34" s="15" t="s">
        <v>219</v>
      </c>
      <c r="J34" s="15" t="s">
        <v>227</v>
      </c>
      <c r="K34" s="15" t="s">
        <v>211</v>
      </c>
      <c r="L34" s="16" t="s">
        <v>7</v>
      </c>
      <c r="M34" s="16" t="s">
        <v>12</v>
      </c>
      <c r="N34" s="15" t="s">
        <v>228</v>
      </c>
      <c r="O34" s="16"/>
    </row>
    <row r="35" customFormat="false" ht="29.85" hidden="false" customHeight="false" outlineLevel="0" collapsed="false">
      <c r="A35" s="13" t="s">
        <v>229</v>
      </c>
      <c r="B35" s="14" t="s">
        <v>13</v>
      </c>
      <c r="C35" s="14" t="s">
        <v>201</v>
      </c>
      <c r="D35" s="14" t="s">
        <v>230</v>
      </c>
      <c r="E35" s="14" t="s">
        <v>231</v>
      </c>
      <c r="F35" s="13" t="s">
        <v>57</v>
      </c>
      <c r="G35" s="14" t="s">
        <v>12</v>
      </c>
      <c r="H35" s="14" t="s">
        <v>151</v>
      </c>
      <c r="I35" s="13" t="s">
        <v>155</v>
      </c>
      <c r="J35" s="14" t="s">
        <v>232</v>
      </c>
      <c r="K35" s="13" t="s">
        <v>145</v>
      </c>
      <c r="L35" s="14" t="s">
        <v>7</v>
      </c>
      <c r="M35" s="14" t="s">
        <v>12</v>
      </c>
      <c r="N35" s="13" t="s">
        <v>233</v>
      </c>
      <c r="O35" s="14"/>
    </row>
    <row r="36" customFormat="false" ht="15" hidden="false" customHeight="false" outlineLevel="0" collapsed="false">
      <c r="A36" s="15" t="s">
        <v>234</v>
      </c>
      <c r="B36" s="16" t="s">
        <v>13</v>
      </c>
      <c r="C36" s="16" t="s">
        <v>201</v>
      </c>
      <c r="D36" s="16" t="s">
        <v>230</v>
      </c>
      <c r="E36" s="15" t="s">
        <v>235</v>
      </c>
      <c r="F36" s="15" t="s">
        <v>68</v>
      </c>
      <c r="G36" s="16" t="s">
        <v>12</v>
      </c>
      <c r="H36" s="15" t="s">
        <v>125</v>
      </c>
      <c r="I36" s="15" t="s">
        <v>229</v>
      </c>
      <c r="J36" s="15" t="s">
        <v>236</v>
      </c>
      <c r="K36" s="15" t="s">
        <v>145</v>
      </c>
      <c r="L36" s="15" t="s">
        <v>59</v>
      </c>
      <c r="M36" s="15" t="s">
        <v>59</v>
      </c>
      <c r="N36" s="15" t="s">
        <v>158</v>
      </c>
      <c r="O36" s="16"/>
    </row>
    <row r="37" customFormat="false" ht="26.85" hidden="false" customHeight="false" outlineLevel="0" collapsed="false">
      <c r="A37" s="13" t="s">
        <v>237</v>
      </c>
      <c r="B37" s="14" t="s">
        <v>13</v>
      </c>
      <c r="C37" s="14" t="s">
        <v>201</v>
      </c>
      <c r="D37" s="14" t="s">
        <v>161</v>
      </c>
      <c r="E37" s="14" t="s">
        <v>238</v>
      </c>
      <c r="F37" s="13" t="s">
        <v>57</v>
      </c>
      <c r="G37" s="14" t="s">
        <v>12</v>
      </c>
      <c r="H37" s="13" t="s">
        <v>125</v>
      </c>
      <c r="I37" s="13" t="s">
        <v>219</v>
      </c>
      <c r="J37" s="13" t="s">
        <v>239</v>
      </c>
      <c r="K37" s="13" t="s">
        <v>240</v>
      </c>
      <c r="L37" s="14" t="s">
        <v>7</v>
      </c>
      <c r="M37" s="14" t="s">
        <v>12</v>
      </c>
      <c r="N37" s="13" t="s">
        <v>241</v>
      </c>
      <c r="O37" s="14"/>
    </row>
    <row r="38" customFormat="false" ht="15" hidden="false" customHeight="false" outlineLevel="0" collapsed="false">
      <c r="A38" s="15" t="s">
        <v>242</v>
      </c>
      <c r="B38" s="16" t="s">
        <v>13</v>
      </c>
      <c r="C38" s="16" t="s">
        <v>201</v>
      </c>
      <c r="D38" s="16" t="s">
        <v>243</v>
      </c>
      <c r="E38" s="16" t="s">
        <v>244</v>
      </c>
      <c r="F38" s="15" t="s">
        <v>57</v>
      </c>
      <c r="G38" s="16" t="s">
        <v>12</v>
      </c>
      <c r="H38" s="16" t="s">
        <v>245</v>
      </c>
      <c r="I38" s="15" t="s">
        <v>246</v>
      </c>
      <c r="J38" s="16" t="s">
        <v>247</v>
      </c>
      <c r="K38" s="15" t="s">
        <v>248</v>
      </c>
      <c r="L38" s="15" t="s">
        <v>59</v>
      </c>
      <c r="M38" s="15" t="s">
        <v>59</v>
      </c>
      <c r="N38" s="15" t="s">
        <v>249</v>
      </c>
      <c r="O38" s="16" t="s">
        <v>250</v>
      </c>
    </row>
    <row r="39" customFormat="false" ht="15" hidden="false" customHeight="false" outlineLevel="0" collapsed="false">
      <c r="A39" s="13" t="s">
        <v>251</v>
      </c>
      <c r="B39" s="14" t="s">
        <v>15</v>
      </c>
      <c r="C39" s="13" t="s">
        <v>252</v>
      </c>
      <c r="D39" s="14" t="s">
        <v>253</v>
      </c>
      <c r="E39" s="13" t="s">
        <v>254</v>
      </c>
      <c r="F39" s="13" t="s">
        <v>68</v>
      </c>
      <c r="G39" s="14" t="s">
        <v>12</v>
      </c>
      <c r="H39" s="13" t="s">
        <v>125</v>
      </c>
      <c r="I39" s="13" t="s">
        <v>242</v>
      </c>
      <c r="J39" s="13" t="s">
        <v>255</v>
      </c>
      <c r="K39" s="13" t="s">
        <v>256</v>
      </c>
      <c r="L39" s="14" t="s">
        <v>7</v>
      </c>
      <c r="M39" s="14" t="s">
        <v>12</v>
      </c>
      <c r="N39" s="13" t="s">
        <v>257</v>
      </c>
      <c r="O39" s="14"/>
    </row>
    <row r="40" customFormat="false" ht="15" hidden="false" customHeight="false" outlineLevel="0" collapsed="false">
      <c r="A40" s="15" t="s">
        <v>258</v>
      </c>
      <c r="B40" s="16" t="s">
        <v>15</v>
      </c>
      <c r="C40" s="15" t="s">
        <v>252</v>
      </c>
      <c r="D40" s="16" t="s">
        <v>202</v>
      </c>
      <c r="E40" s="15" t="s">
        <v>259</v>
      </c>
      <c r="F40" s="15" t="s">
        <v>57</v>
      </c>
      <c r="G40" s="16" t="s">
        <v>12</v>
      </c>
      <c r="H40" s="15" t="s">
        <v>125</v>
      </c>
      <c r="I40" s="15" t="s">
        <v>251</v>
      </c>
      <c r="J40" s="16" t="s">
        <v>260</v>
      </c>
      <c r="K40" s="15" t="s">
        <v>169</v>
      </c>
      <c r="L40" s="16" t="s">
        <v>7</v>
      </c>
      <c r="M40" s="16" t="s">
        <v>12</v>
      </c>
      <c r="N40" s="15" t="s">
        <v>261</v>
      </c>
      <c r="O40" s="16" t="s">
        <v>262</v>
      </c>
    </row>
    <row r="41" customFormat="false" ht="15" hidden="false" customHeight="false" outlineLevel="0" collapsed="false">
      <c r="A41" s="13" t="s">
        <v>263</v>
      </c>
      <c r="B41" s="14" t="s">
        <v>15</v>
      </c>
      <c r="C41" s="13" t="s">
        <v>252</v>
      </c>
      <c r="D41" s="14" t="s">
        <v>253</v>
      </c>
      <c r="E41" s="14" t="s">
        <v>264</v>
      </c>
      <c r="F41" s="13" t="s">
        <v>57</v>
      </c>
      <c r="G41" s="14" t="s">
        <v>12</v>
      </c>
      <c r="H41" s="13" t="s">
        <v>125</v>
      </c>
      <c r="I41" s="13" t="s">
        <v>258</v>
      </c>
      <c r="J41" s="13" t="s">
        <v>265</v>
      </c>
      <c r="K41" s="13" t="s">
        <v>94</v>
      </c>
      <c r="L41" s="14" t="s">
        <v>7</v>
      </c>
      <c r="M41" s="14" t="s">
        <v>12</v>
      </c>
      <c r="N41" s="13" t="s">
        <v>266</v>
      </c>
      <c r="O41" s="14"/>
    </row>
    <row r="42" customFormat="false" ht="15" hidden="false" customHeight="false" outlineLevel="0" collapsed="false">
      <c r="A42" s="15" t="s">
        <v>267</v>
      </c>
      <c r="B42" s="16" t="s">
        <v>15</v>
      </c>
      <c r="C42" s="15" t="s">
        <v>252</v>
      </c>
      <c r="D42" s="15" t="s">
        <v>268</v>
      </c>
      <c r="E42" s="16" t="s">
        <v>269</v>
      </c>
      <c r="F42" s="15" t="s">
        <v>68</v>
      </c>
      <c r="G42" s="16" t="s">
        <v>12</v>
      </c>
      <c r="H42" s="15" t="s">
        <v>125</v>
      </c>
      <c r="I42" s="15" t="s">
        <v>270</v>
      </c>
      <c r="J42" s="15" t="s">
        <v>271</v>
      </c>
      <c r="K42" s="15" t="s">
        <v>272</v>
      </c>
      <c r="L42" s="16" t="s">
        <v>7</v>
      </c>
      <c r="M42" s="16" t="s">
        <v>12</v>
      </c>
      <c r="N42" s="15" t="s">
        <v>273</v>
      </c>
      <c r="O42" s="15" t="s">
        <v>274</v>
      </c>
    </row>
    <row r="43" customFormat="false" ht="15" hidden="false" customHeight="false" outlineLevel="0" collapsed="false">
      <c r="A43" s="13" t="s">
        <v>275</v>
      </c>
      <c r="B43" s="14" t="s">
        <v>15</v>
      </c>
      <c r="C43" s="13" t="s">
        <v>252</v>
      </c>
      <c r="D43" s="14" t="s">
        <v>202</v>
      </c>
      <c r="E43" s="14" t="s">
        <v>276</v>
      </c>
      <c r="F43" s="13" t="s">
        <v>68</v>
      </c>
      <c r="G43" s="14" t="s">
        <v>12</v>
      </c>
      <c r="H43" s="13" t="s">
        <v>125</v>
      </c>
      <c r="I43" s="13" t="s">
        <v>267</v>
      </c>
      <c r="J43" s="13" t="s">
        <v>277</v>
      </c>
      <c r="K43" s="13" t="s">
        <v>216</v>
      </c>
      <c r="L43" s="14" t="s">
        <v>7</v>
      </c>
      <c r="M43" s="14" t="s">
        <v>12</v>
      </c>
      <c r="N43" s="13" t="s">
        <v>278</v>
      </c>
      <c r="O43" s="14"/>
    </row>
    <row r="44" customFormat="false" ht="15" hidden="false" customHeight="false" outlineLevel="0" collapsed="false">
      <c r="A44" s="15" t="s">
        <v>279</v>
      </c>
      <c r="B44" s="16" t="s">
        <v>15</v>
      </c>
      <c r="C44" s="15" t="s">
        <v>252</v>
      </c>
      <c r="D44" s="15" t="s">
        <v>280</v>
      </c>
      <c r="E44" s="15" t="s">
        <v>281</v>
      </c>
      <c r="F44" s="15" t="s">
        <v>68</v>
      </c>
      <c r="G44" s="16" t="s">
        <v>12</v>
      </c>
      <c r="H44" s="15" t="s">
        <v>125</v>
      </c>
      <c r="I44" s="15" t="s">
        <v>251</v>
      </c>
      <c r="J44" s="15" t="s">
        <v>282</v>
      </c>
      <c r="K44" s="15" t="s">
        <v>222</v>
      </c>
      <c r="L44" s="16" t="s">
        <v>7</v>
      </c>
      <c r="M44" s="16" t="s">
        <v>12</v>
      </c>
      <c r="N44" s="15" t="s">
        <v>283</v>
      </c>
      <c r="O44" s="15" t="s">
        <v>284</v>
      </c>
    </row>
    <row r="45" customFormat="false" ht="29.85" hidden="false" customHeight="false" outlineLevel="0" collapsed="false">
      <c r="A45" s="13" t="s">
        <v>285</v>
      </c>
      <c r="B45" s="14" t="s">
        <v>15</v>
      </c>
      <c r="C45" s="13" t="s">
        <v>252</v>
      </c>
      <c r="D45" s="14" t="s">
        <v>243</v>
      </c>
      <c r="E45" s="13" t="s">
        <v>286</v>
      </c>
      <c r="F45" s="13" t="s">
        <v>57</v>
      </c>
      <c r="G45" s="14" t="s">
        <v>12</v>
      </c>
      <c r="H45" s="14" t="s">
        <v>287</v>
      </c>
      <c r="I45" s="13" t="s">
        <v>275</v>
      </c>
      <c r="J45" s="13" t="s">
        <v>288</v>
      </c>
      <c r="K45" s="13" t="s">
        <v>178</v>
      </c>
      <c r="L45" s="14" t="s">
        <v>7</v>
      </c>
      <c r="M45" s="14" t="s">
        <v>12</v>
      </c>
      <c r="N45" s="13" t="s">
        <v>289</v>
      </c>
      <c r="O45" s="13" t="s">
        <v>290</v>
      </c>
    </row>
    <row r="46" customFormat="false" ht="15" hidden="false" customHeight="false" outlineLevel="0" collapsed="false">
      <c r="A46" s="15" t="s">
        <v>291</v>
      </c>
      <c r="B46" s="16" t="s">
        <v>15</v>
      </c>
      <c r="C46" s="16" t="s">
        <v>292</v>
      </c>
      <c r="D46" s="16" t="s">
        <v>293</v>
      </c>
      <c r="E46" s="16" t="s">
        <v>294</v>
      </c>
      <c r="F46" s="15" t="s">
        <v>68</v>
      </c>
      <c r="G46" s="16" t="s">
        <v>12</v>
      </c>
      <c r="H46" s="16" t="s">
        <v>58</v>
      </c>
      <c r="I46" s="15" t="s">
        <v>295</v>
      </c>
      <c r="J46" s="16" t="s">
        <v>296</v>
      </c>
      <c r="K46" s="15" t="s">
        <v>297</v>
      </c>
      <c r="L46" s="15" t="s">
        <v>59</v>
      </c>
      <c r="M46" s="15" t="s">
        <v>59</v>
      </c>
      <c r="N46" s="15" t="s">
        <v>59</v>
      </c>
      <c r="O46" s="16" t="s">
        <v>298</v>
      </c>
    </row>
    <row r="47" customFormat="false" ht="15" hidden="false" customHeight="false" outlineLevel="0" collapsed="false">
      <c r="A47" s="13" t="s">
        <v>299</v>
      </c>
      <c r="B47" s="14" t="s">
        <v>16</v>
      </c>
      <c r="C47" s="14" t="s">
        <v>300</v>
      </c>
      <c r="D47" s="14" t="s">
        <v>253</v>
      </c>
      <c r="E47" s="14" t="s">
        <v>301</v>
      </c>
      <c r="F47" s="13" t="s">
        <v>68</v>
      </c>
      <c r="G47" s="14" t="s">
        <v>12</v>
      </c>
      <c r="H47" s="13" t="s">
        <v>125</v>
      </c>
      <c r="I47" s="13" t="s">
        <v>285</v>
      </c>
      <c r="J47" s="13" t="s">
        <v>302</v>
      </c>
      <c r="K47" s="13" t="s">
        <v>272</v>
      </c>
      <c r="L47" s="14" t="s">
        <v>7</v>
      </c>
      <c r="M47" s="14" t="s">
        <v>12</v>
      </c>
      <c r="N47" s="13" t="s">
        <v>303</v>
      </c>
      <c r="O47" s="14"/>
    </row>
    <row r="48" customFormat="false" ht="15" hidden="false" customHeight="false" outlineLevel="0" collapsed="false">
      <c r="A48" s="15" t="s">
        <v>304</v>
      </c>
      <c r="B48" s="16" t="s">
        <v>16</v>
      </c>
      <c r="C48" s="16" t="s">
        <v>300</v>
      </c>
      <c r="D48" s="15" t="s">
        <v>268</v>
      </c>
      <c r="E48" s="16" t="s">
        <v>305</v>
      </c>
      <c r="F48" s="15" t="s">
        <v>68</v>
      </c>
      <c r="G48" s="16" t="s">
        <v>12</v>
      </c>
      <c r="H48" s="15" t="s">
        <v>125</v>
      </c>
      <c r="I48" s="15" t="s">
        <v>299</v>
      </c>
      <c r="J48" s="15" t="s">
        <v>306</v>
      </c>
      <c r="K48" s="15" t="s">
        <v>94</v>
      </c>
      <c r="L48" s="16" t="s">
        <v>7</v>
      </c>
      <c r="M48" s="16" t="s">
        <v>12</v>
      </c>
      <c r="N48" s="15" t="s">
        <v>307</v>
      </c>
      <c r="O48" s="16"/>
    </row>
    <row r="49" customFormat="false" ht="15" hidden="false" customHeight="false" outlineLevel="0" collapsed="false">
      <c r="A49" s="13" t="s">
        <v>308</v>
      </c>
      <c r="B49" s="14" t="s">
        <v>16</v>
      </c>
      <c r="C49" s="14" t="s">
        <v>300</v>
      </c>
      <c r="D49" s="13" t="s">
        <v>268</v>
      </c>
      <c r="E49" s="13" t="s">
        <v>309</v>
      </c>
      <c r="F49" s="13" t="s">
        <v>57</v>
      </c>
      <c r="G49" s="14" t="s">
        <v>12</v>
      </c>
      <c r="H49" s="13" t="s">
        <v>125</v>
      </c>
      <c r="I49" s="13" t="s">
        <v>304</v>
      </c>
      <c r="J49" s="14" t="s">
        <v>310</v>
      </c>
      <c r="K49" s="13" t="s">
        <v>311</v>
      </c>
      <c r="L49" s="14" t="s">
        <v>7</v>
      </c>
      <c r="M49" s="14" t="s">
        <v>12</v>
      </c>
      <c r="N49" s="13" t="s">
        <v>312</v>
      </c>
      <c r="O49" s="14" t="s">
        <v>313</v>
      </c>
    </row>
    <row r="50" customFormat="false" ht="29.85" hidden="false" customHeight="false" outlineLevel="0" collapsed="false">
      <c r="A50" s="15" t="s">
        <v>314</v>
      </c>
      <c r="B50" s="16" t="s">
        <v>16</v>
      </c>
      <c r="C50" s="16" t="s">
        <v>300</v>
      </c>
      <c r="D50" s="16" t="s">
        <v>315</v>
      </c>
      <c r="E50" s="16" t="s">
        <v>316</v>
      </c>
      <c r="F50" s="15" t="s">
        <v>68</v>
      </c>
      <c r="G50" s="16" t="s">
        <v>12</v>
      </c>
      <c r="H50" s="15" t="s">
        <v>125</v>
      </c>
      <c r="I50" s="15" t="s">
        <v>304</v>
      </c>
      <c r="J50" s="16" t="s">
        <v>317</v>
      </c>
      <c r="K50" s="15" t="s">
        <v>211</v>
      </c>
      <c r="L50" s="16" t="s">
        <v>7</v>
      </c>
      <c r="M50" s="16" t="s">
        <v>12</v>
      </c>
      <c r="N50" s="15" t="s">
        <v>318</v>
      </c>
      <c r="O50" s="15" t="s">
        <v>319</v>
      </c>
    </row>
    <row r="51" customFormat="false" ht="15" hidden="false" customHeight="false" outlineLevel="0" collapsed="false">
      <c r="A51" s="13" t="s">
        <v>320</v>
      </c>
      <c r="B51" s="14" t="s">
        <v>16</v>
      </c>
      <c r="C51" s="14" t="s">
        <v>300</v>
      </c>
      <c r="D51" s="14" t="s">
        <v>243</v>
      </c>
      <c r="E51" s="14" t="s">
        <v>321</v>
      </c>
      <c r="F51" s="13" t="s">
        <v>57</v>
      </c>
      <c r="G51" s="14" t="s">
        <v>12</v>
      </c>
      <c r="H51" s="14" t="s">
        <v>287</v>
      </c>
      <c r="I51" s="13" t="s">
        <v>322</v>
      </c>
      <c r="J51" s="14" t="s">
        <v>323</v>
      </c>
      <c r="K51" s="13" t="s">
        <v>297</v>
      </c>
      <c r="L51" s="14" t="s">
        <v>324</v>
      </c>
      <c r="M51" s="14" t="s">
        <v>12</v>
      </c>
      <c r="N51" s="13" t="s">
        <v>325</v>
      </c>
      <c r="O51" s="13" t="s">
        <v>326</v>
      </c>
    </row>
    <row r="52" customFormat="false" ht="29.85" hidden="false" customHeight="false" outlineLevel="0" collapsed="false">
      <c r="A52" s="15" t="s">
        <v>327</v>
      </c>
      <c r="B52" s="16" t="s">
        <v>17</v>
      </c>
      <c r="C52" s="15" t="s">
        <v>328</v>
      </c>
      <c r="D52" s="16" t="s">
        <v>253</v>
      </c>
      <c r="E52" s="15" t="s">
        <v>329</v>
      </c>
      <c r="F52" s="15" t="s">
        <v>57</v>
      </c>
      <c r="G52" s="16" t="s">
        <v>12</v>
      </c>
      <c r="H52" s="15" t="s">
        <v>125</v>
      </c>
      <c r="I52" s="15" t="s">
        <v>320</v>
      </c>
      <c r="J52" s="16" t="s">
        <v>330</v>
      </c>
      <c r="K52" s="15" t="s">
        <v>216</v>
      </c>
      <c r="L52" s="16" t="s">
        <v>7</v>
      </c>
      <c r="M52" s="16" t="s">
        <v>12</v>
      </c>
      <c r="N52" s="15" t="s">
        <v>331</v>
      </c>
      <c r="O52" s="15" t="s">
        <v>332</v>
      </c>
    </row>
    <row r="53" customFormat="false" ht="29.85" hidden="false" customHeight="false" outlineLevel="0" collapsed="false">
      <c r="A53" s="13" t="s">
        <v>333</v>
      </c>
      <c r="B53" s="14" t="s">
        <v>17</v>
      </c>
      <c r="C53" s="13" t="s">
        <v>328</v>
      </c>
      <c r="D53" s="14" t="s">
        <v>253</v>
      </c>
      <c r="E53" s="13" t="s">
        <v>334</v>
      </c>
      <c r="F53" s="13" t="s">
        <v>68</v>
      </c>
      <c r="G53" s="14" t="s">
        <v>12</v>
      </c>
      <c r="H53" s="13" t="s">
        <v>125</v>
      </c>
      <c r="I53" s="13" t="s">
        <v>327</v>
      </c>
      <c r="J53" s="13" t="s">
        <v>335</v>
      </c>
      <c r="K53" s="13" t="s">
        <v>256</v>
      </c>
      <c r="L53" s="14" t="s">
        <v>324</v>
      </c>
      <c r="M53" s="14" t="s">
        <v>12</v>
      </c>
      <c r="N53" s="13" t="s">
        <v>336</v>
      </c>
      <c r="O53" s="14"/>
    </row>
    <row r="54" customFormat="false" ht="15" hidden="false" customHeight="false" outlineLevel="0" collapsed="false">
      <c r="A54" s="15" t="s">
        <v>337</v>
      </c>
      <c r="B54" s="16" t="s">
        <v>17</v>
      </c>
      <c r="C54" s="15" t="s">
        <v>328</v>
      </c>
      <c r="D54" s="15" t="s">
        <v>280</v>
      </c>
      <c r="E54" s="15" t="s">
        <v>338</v>
      </c>
      <c r="F54" s="15" t="s">
        <v>68</v>
      </c>
      <c r="G54" s="16" t="s">
        <v>12</v>
      </c>
      <c r="H54" s="15" t="s">
        <v>125</v>
      </c>
      <c r="I54" s="15" t="s">
        <v>333</v>
      </c>
      <c r="J54" s="15" t="s">
        <v>339</v>
      </c>
      <c r="K54" s="15" t="s">
        <v>94</v>
      </c>
      <c r="L54" s="16" t="s">
        <v>7</v>
      </c>
      <c r="M54" s="16" t="s">
        <v>12</v>
      </c>
      <c r="N54" s="15" t="s">
        <v>340</v>
      </c>
      <c r="O54" s="16"/>
    </row>
    <row r="55" customFormat="false" ht="29.85" hidden="false" customHeight="false" outlineLevel="0" collapsed="false">
      <c r="A55" s="13" t="s">
        <v>341</v>
      </c>
      <c r="B55" s="14" t="s">
        <v>17</v>
      </c>
      <c r="C55" s="13" t="s">
        <v>328</v>
      </c>
      <c r="D55" s="14" t="s">
        <v>315</v>
      </c>
      <c r="E55" s="14" t="s">
        <v>342</v>
      </c>
      <c r="F55" s="13" t="s">
        <v>68</v>
      </c>
      <c r="G55" s="14" t="s">
        <v>12</v>
      </c>
      <c r="H55" s="13" t="s">
        <v>125</v>
      </c>
      <c r="I55" s="13" t="s">
        <v>327</v>
      </c>
      <c r="J55" s="14" t="s">
        <v>343</v>
      </c>
      <c r="K55" s="13" t="s">
        <v>216</v>
      </c>
      <c r="L55" s="14" t="s">
        <v>7</v>
      </c>
      <c r="M55" s="14" t="s">
        <v>12</v>
      </c>
      <c r="N55" s="13" t="s">
        <v>344</v>
      </c>
      <c r="O55" s="13" t="s">
        <v>120</v>
      </c>
    </row>
    <row r="56" customFormat="false" ht="29.85" hidden="false" customHeight="false" outlineLevel="0" collapsed="false">
      <c r="A56" s="15" t="s">
        <v>345</v>
      </c>
      <c r="B56" s="16" t="s">
        <v>17</v>
      </c>
      <c r="C56" s="16" t="s">
        <v>346</v>
      </c>
      <c r="D56" s="16" t="s">
        <v>253</v>
      </c>
      <c r="E56" s="15" t="s">
        <v>347</v>
      </c>
      <c r="F56" s="15" t="s">
        <v>68</v>
      </c>
      <c r="G56" s="16" t="s">
        <v>12</v>
      </c>
      <c r="H56" s="15" t="s">
        <v>125</v>
      </c>
      <c r="I56" s="15" t="s">
        <v>320</v>
      </c>
      <c r="J56" s="15" t="s">
        <v>348</v>
      </c>
      <c r="K56" s="15" t="s">
        <v>256</v>
      </c>
      <c r="L56" s="16" t="s">
        <v>324</v>
      </c>
      <c r="M56" s="16" t="s">
        <v>12</v>
      </c>
      <c r="N56" s="15" t="s">
        <v>349</v>
      </c>
      <c r="O56" s="16"/>
    </row>
    <row r="57" customFormat="false" ht="29.85" hidden="false" customHeight="false" outlineLevel="0" collapsed="false">
      <c r="A57" s="13" t="s">
        <v>350</v>
      </c>
      <c r="B57" s="14" t="s">
        <v>17</v>
      </c>
      <c r="C57" s="14" t="s">
        <v>346</v>
      </c>
      <c r="D57" s="13" t="s">
        <v>280</v>
      </c>
      <c r="E57" s="13" t="s">
        <v>351</v>
      </c>
      <c r="F57" s="13" t="s">
        <v>57</v>
      </c>
      <c r="G57" s="14" t="s">
        <v>12</v>
      </c>
      <c r="H57" s="13" t="s">
        <v>125</v>
      </c>
      <c r="I57" s="13" t="s">
        <v>345</v>
      </c>
      <c r="J57" s="14" t="s">
        <v>352</v>
      </c>
      <c r="K57" s="13" t="s">
        <v>211</v>
      </c>
      <c r="L57" s="14" t="s">
        <v>7</v>
      </c>
      <c r="M57" s="14" t="s">
        <v>12</v>
      </c>
      <c r="N57" s="13" t="s">
        <v>353</v>
      </c>
      <c r="O57" s="13" t="s">
        <v>354</v>
      </c>
    </row>
    <row r="58" customFormat="false" ht="26.85" hidden="false" customHeight="false" outlineLevel="0" collapsed="false">
      <c r="A58" s="15" t="s">
        <v>355</v>
      </c>
      <c r="B58" s="16" t="s">
        <v>17</v>
      </c>
      <c r="C58" s="15" t="s">
        <v>356</v>
      </c>
      <c r="D58" s="16" t="s">
        <v>243</v>
      </c>
      <c r="E58" s="15" t="s">
        <v>357</v>
      </c>
      <c r="F58" s="15" t="s">
        <v>57</v>
      </c>
      <c r="G58" s="16" t="s">
        <v>12</v>
      </c>
      <c r="H58" s="16" t="s">
        <v>287</v>
      </c>
      <c r="I58" s="15" t="s">
        <v>358</v>
      </c>
      <c r="J58" s="16" t="s">
        <v>359</v>
      </c>
      <c r="K58" s="15" t="s">
        <v>297</v>
      </c>
      <c r="L58" s="15" t="s">
        <v>59</v>
      </c>
      <c r="M58" s="16" t="s">
        <v>12</v>
      </c>
      <c r="N58" s="15" t="s">
        <v>360</v>
      </c>
      <c r="O58" s="15" t="s">
        <v>361</v>
      </c>
    </row>
    <row r="59" customFormat="false" ht="15" hidden="false" customHeight="false" outlineLevel="0" collapsed="false">
      <c r="A59" s="13" t="s">
        <v>362</v>
      </c>
      <c r="B59" s="14" t="s">
        <v>18</v>
      </c>
      <c r="C59" s="14" t="s">
        <v>363</v>
      </c>
      <c r="D59" s="14" t="s">
        <v>253</v>
      </c>
      <c r="E59" s="14" t="s">
        <v>364</v>
      </c>
      <c r="F59" s="13" t="s">
        <v>68</v>
      </c>
      <c r="G59" s="14" t="s">
        <v>12</v>
      </c>
      <c r="H59" s="13" t="s">
        <v>125</v>
      </c>
      <c r="I59" s="13" t="s">
        <v>355</v>
      </c>
      <c r="J59" s="13" t="s">
        <v>365</v>
      </c>
      <c r="K59" s="13" t="s">
        <v>211</v>
      </c>
      <c r="L59" s="14" t="s">
        <v>324</v>
      </c>
      <c r="M59" s="14" t="s">
        <v>12</v>
      </c>
      <c r="N59" s="13" t="s">
        <v>366</v>
      </c>
      <c r="O59" s="14"/>
    </row>
    <row r="60" customFormat="false" ht="15" hidden="false" customHeight="false" outlineLevel="0" collapsed="false">
      <c r="A60" s="15" t="s">
        <v>367</v>
      </c>
      <c r="B60" s="16" t="s">
        <v>18</v>
      </c>
      <c r="C60" s="16" t="s">
        <v>363</v>
      </c>
      <c r="D60" s="16" t="s">
        <v>253</v>
      </c>
      <c r="E60" s="16" t="s">
        <v>368</v>
      </c>
      <c r="F60" s="15" t="s">
        <v>68</v>
      </c>
      <c r="G60" s="16" t="s">
        <v>12</v>
      </c>
      <c r="H60" s="15" t="s">
        <v>125</v>
      </c>
      <c r="I60" s="15" t="s">
        <v>362</v>
      </c>
      <c r="J60" s="15" t="s">
        <v>365</v>
      </c>
      <c r="K60" s="15" t="s">
        <v>211</v>
      </c>
      <c r="L60" s="16" t="s">
        <v>324</v>
      </c>
      <c r="M60" s="16" t="s">
        <v>12</v>
      </c>
      <c r="N60" s="15" t="s">
        <v>366</v>
      </c>
      <c r="O60" s="16"/>
    </row>
    <row r="61" customFormat="false" ht="15" hidden="false" customHeight="false" outlineLevel="0" collapsed="false">
      <c r="A61" s="13" t="s">
        <v>369</v>
      </c>
      <c r="B61" s="14" t="s">
        <v>18</v>
      </c>
      <c r="C61" s="14" t="s">
        <v>292</v>
      </c>
      <c r="D61" s="14" t="s">
        <v>293</v>
      </c>
      <c r="E61" s="14" t="s">
        <v>370</v>
      </c>
      <c r="F61" s="13" t="s">
        <v>57</v>
      </c>
      <c r="G61" s="14" t="s">
        <v>12</v>
      </c>
      <c r="H61" s="14" t="s">
        <v>58</v>
      </c>
      <c r="I61" s="13" t="s">
        <v>320</v>
      </c>
      <c r="J61" s="14" t="s">
        <v>371</v>
      </c>
      <c r="K61" s="13" t="s">
        <v>297</v>
      </c>
      <c r="L61" s="13" t="s">
        <v>59</v>
      </c>
      <c r="M61" s="14" t="s">
        <v>12</v>
      </c>
      <c r="N61" s="13" t="s">
        <v>372</v>
      </c>
      <c r="O61" s="14" t="s">
        <v>373</v>
      </c>
    </row>
    <row r="62" customFormat="false" ht="29.85" hidden="false" customHeight="false" outlineLevel="0" collapsed="false">
      <c r="A62" s="17" t="s">
        <v>374</v>
      </c>
      <c r="B62" s="18" t="s">
        <v>19</v>
      </c>
      <c r="C62" s="18" t="s">
        <v>375</v>
      </c>
      <c r="D62" s="18" t="s">
        <v>375</v>
      </c>
      <c r="E62" s="18" t="s">
        <v>376</v>
      </c>
      <c r="F62" s="17" t="s">
        <v>99</v>
      </c>
      <c r="G62" s="18" t="s">
        <v>14</v>
      </c>
      <c r="H62" s="17" t="s">
        <v>125</v>
      </c>
      <c r="I62" s="18" t="s">
        <v>377</v>
      </c>
      <c r="J62" s="18" t="s">
        <v>378</v>
      </c>
      <c r="K62" s="18" t="s">
        <v>136</v>
      </c>
      <c r="L62" s="17" t="s">
        <v>59</v>
      </c>
      <c r="M62" s="17" t="s">
        <v>59</v>
      </c>
      <c r="N62" s="17" t="s">
        <v>379</v>
      </c>
      <c r="O62" s="18" t="s">
        <v>380</v>
      </c>
    </row>
  </sheetData>
  <autoFilter ref="A1:O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9" t="s">
        <v>381</v>
      </c>
    </row>
    <row r="3" customFormat="false" ht="15" hidden="false" customHeight="false" outlineLevel="0" collapsed="false">
      <c r="A3" s="6" t="s">
        <v>382</v>
      </c>
      <c r="B3" s="6" t="s">
        <v>383</v>
      </c>
      <c r="C3" s="6" t="s">
        <v>384</v>
      </c>
      <c r="D3" s="6" t="s">
        <v>385</v>
      </c>
      <c r="E3" s="6" t="s">
        <v>45</v>
      </c>
    </row>
    <row r="4" customFormat="false" ht="15" hidden="false" customHeight="false" outlineLevel="0" collapsed="false">
      <c r="A4" s="14" t="s">
        <v>386</v>
      </c>
      <c r="B4" s="14" t="s">
        <v>387</v>
      </c>
      <c r="C4" s="14" t="s">
        <v>388</v>
      </c>
      <c r="D4" s="13" t="s">
        <v>389</v>
      </c>
      <c r="E4" s="14" t="s">
        <v>390</v>
      </c>
    </row>
    <row r="5" customFormat="false" ht="15" hidden="false" customHeight="false" outlineLevel="0" collapsed="false">
      <c r="A5" s="14" t="s">
        <v>391</v>
      </c>
      <c r="B5" s="14" t="s">
        <v>392</v>
      </c>
      <c r="C5" s="14" t="s">
        <v>11</v>
      </c>
      <c r="D5" s="13" t="s">
        <v>393</v>
      </c>
      <c r="E5" s="13" t="s">
        <v>394</v>
      </c>
    </row>
    <row r="6" customFormat="false" ht="15" hidden="false" customHeight="false" outlineLevel="0" collapsed="false">
      <c r="A6" s="14" t="s">
        <v>395</v>
      </c>
      <c r="B6" s="14" t="s">
        <v>396</v>
      </c>
      <c r="C6" s="14" t="s">
        <v>13</v>
      </c>
      <c r="D6" s="13" t="s">
        <v>397</v>
      </c>
      <c r="E6" s="14" t="s">
        <v>398</v>
      </c>
    </row>
    <row r="7" customFormat="false" ht="15" hidden="false" customHeight="false" outlineLevel="0" collapsed="false">
      <c r="A7" s="14" t="s">
        <v>399</v>
      </c>
      <c r="B7" s="14" t="s">
        <v>400</v>
      </c>
      <c r="C7" s="14" t="s">
        <v>401</v>
      </c>
      <c r="D7" s="14" t="s">
        <v>402</v>
      </c>
      <c r="E7" s="14" t="s">
        <v>398</v>
      </c>
    </row>
    <row r="8" customFormat="false" ht="15" hidden="false" customHeight="false" outlineLevel="0" collapsed="false">
      <c r="A8" s="14" t="s">
        <v>403</v>
      </c>
      <c r="B8" s="14" t="s">
        <v>404</v>
      </c>
      <c r="C8" s="14" t="s">
        <v>18</v>
      </c>
      <c r="D8" s="13" t="s">
        <v>405</v>
      </c>
      <c r="E8" s="14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9" t="s">
        <v>406</v>
      </c>
    </row>
    <row r="3" customFormat="false" ht="15" hidden="false" customHeight="false" outlineLevel="0" collapsed="false">
      <c r="A3" s="6" t="s">
        <v>5</v>
      </c>
      <c r="B3" s="6" t="s">
        <v>407</v>
      </c>
      <c r="C3" s="6" t="s">
        <v>408</v>
      </c>
      <c r="D3" s="6" t="s">
        <v>409</v>
      </c>
    </row>
    <row r="4" customFormat="false" ht="44" hidden="false" customHeight="false" outlineLevel="0" collapsed="false">
      <c r="A4" s="14" t="s">
        <v>10</v>
      </c>
      <c r="B4" s="14" t="s">
        <v>410</v>
      </c>
      <c r="C4" s="14" t="s">
        <v>411</v>
      </c>
      <c r="D4" s="14" t="s">
        <v>412</v>
      </c>
    </row>
    <row r="5" customFormat="false" ht="44" hidden="false" customHeight="false" outlineLevel="0" collapsed="false">
      <c r="A5" s="14" t="s">
        <v>11</v>
      </c>
      <c r="B5" s="14" t="s">
        <v>413</v>
      </c>
      <c r="C5" s="14" t="s">
        <v>414</v>
      </c>
      <c r="D5" s="14" t="s">
        <v>415</v>
      </c>
    </row>
    <row r="6" customFormat="false" ht="29.85" hidden="false" customHeight="false" outlineLevel="0" collapsed="false">
      <c r="A6" s="14" t="s">
        <v>13</v>
      </c>
      <c r="B6" s="14" t="s">
        <v>201</v>
      </c>
      <c r="C6" s="14" t="s">
        <v>416</v>
      </c>
      <c r="D6" s="14" t="s">
        <v>417</v>
      </c>
    </row>
    <row r="7" customFormat="false" ht="29.85" hidden="false" customHeight="false" outlineLevel="0" collapsed="false">
      <c r="A7" s="14" t="s">
        <v>15</v>
      </c>
      <c r="B7" s="13" t="s">
        <v>252</v>
      </c>
      <c r="C7" s="14" t="s">
        <v>418</v>
      </c>
      <c r="D7" s="14" t="s">
        <v>419</v>
      </c>
    </row>
    <row r="8" customFormat="false" ht="29.85" hidden="false" customHeight="false" outlineLevel="0" collapsed="false">
      <c r="A8" s="14" t="s">
        <v>16</v>
      </c>
      <c r="B8" s="14" t="s">
        <v>300</v>
      </c>
      <c r="C8" s="13" t="s">
        <v>420</v>
      </c>
      <c r="D8" s="14" t="s">
        <v>421</v>
      </c>
    </row>
    <row r="9" customFormat="false" ht="44" hidden="false" customHeight="false" outlineLevel="0" collapsed="false">
      <c r="A9" s="14" t="s">
        <v>17</v>
      </c>
      <c r="B9" s="13" t="s">
        <v>422</v>
      </c>
      <c r="C9" s="13" t="s">
        <v>423</v>
      </c>
      <c r="D9" s="14" t="s">
        <v>424</v>
      </c>
    </row>
    <row r="10" customFormat="false" ht="29.85" hidden="false" customHeight="false" outlineLevel="0" collapsed="false">
      <c r="A10" s="14" t="s">
        <v>18</v>
      </c>
      <c r="B10" s="14" t="s">
        <v>425</v>
      </c>
      <c r="C10" s="14" t="s">
        <v>426</v>
      </c>
      <c r="D10" s="14" t="s">
        <v>427</v>
      </c>
    </row>
    <row r="11" customFormat="false" ht="29.85" hidden="false" customHeight="false" outlineLevel="0" collapsed="false">
      <c r="A11" s="14" t="s">
        <v>19</v>
      </c>
      <c r="B11" s="14" t="s">
        <v>428</v>
      </c>
      <c r="C11" s="14" t="s">
        <v>429</v>
      </c>
      <c r="D11" s="14" t="s">
        <v>430</v>
      </c>
    </row>
    <row r="13" customFormat="false" ht="17.15" hidden="false" customHeight="false" outlineLevel="0" collapsed="false">
      <c r="A13" s="3" t="s">
        <v>431</v>
      </c>
    </row>
    <row r="14" customFormat="false" ht="15" hidden="false" customHeight="false" outlineLevel="0" collapsed="false">
      <c r="A14" s="8" t="s">
        <v>432</v>
      </c>
      <c r="B14" s="8"/>
      <c r="C14" s="8"/>
      <c r="D14" s="8"/>
    </row>
    <row r="15" customFormat="false" ht="15" hidden="false" customHeight="false" outlineLevel="0" collapsed="false">
      <c r="A15" s="8" t="s">
        <v>433</v>
      </c>
      <c r="B15" s="8"/>
      <c r="C15" s="8"/>
      <c r="D15" s="8"/>
    </row>
    <row r="16" customFormat="false" ht="15" hidden="false" customHeight="false" outlineLevel="0" collapsed="false">
      <c r="A16" s="8" t="s">
        <v>434</v>
      </c>
      <c r="B16" s="8"/>
      <c r="C16" s="8"/>
      <c r="D16" s="8"/>
    </row>
    <row r="17" customFormat="false" ht="15" hidden="false" customHeight="false" outlineLevel="0" collapsed="false">
      <c r="A17" s="8" t="s">
        <v>435</v>
      </c>
      <c r="B17" s="8"/>
      <c r="C17" s="8"/>
      <c r="D17" s="8"/>
    </row>
  </sheetData>
  <mergeCells count="4">
    <mergeCell ref="A14:D14"/>
    <mergeCell ref="A15:D15"/>
    <mergeCell ref="A16:D16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24"/>
  </cols>
  <sheetData>
    <row r="1" customFormat="false" ht="17.35" hidden="false" customHeight="false" outlineLevel="0" collapsed="false">
      <c r="A1" s="19" t="s">
        <v>436</v>
      </c>
    </row>
    <row r="3" customFormat="false" ht="15" hidden="false" customHeight="false" outlineLevel="0" collapsed="false">
      <c r="A3" s="6" t="s">
        <v>437</v>
      </c>
      <c r="B3" s="6" t="s">
        <v>438</v>
      </c>
      <c r="C3" s="6" t="s">
        <v>439</v>
      </c>
    </row>
    <row r="4" customFormat="false" ht="44" hidden="false" customHeight="false" outlineLevel="0" collapsed="false">
      <c r="A4" s="13" t="s">
        <v>440</v>
      </c>
      <c r="B4" s="14" t="s">
        <v>441</v>
      </c>
      <c r="C4" s="13" t="s">
        <v>88</v>
      </c>
    </row>
    <row r="5" customFormat="false" ht="29.85" hidden="false" customHeight="false" outlineLevel="0" collapsed="false">
      <c r="A5" s="13" t="s">
        <v>440</v>
      </c>
      <c r="B5" s="14" t="s">
        <v>442</v>
      </c>
      <c r="C5" s="13" t="s">
        <v>443</v>
      </c>
    </row>
    <row r="6" customFormat="false" ht="29.85" hidden="false" customHeight="false" outlineLevel="0" collapsed="false">
      <c r="A6" s="13" t="s">
        <v>440</v>
      </c>
      <c r="B6" s="14" t="s">
        <v>444</v>
      </c>
      <c r="C6" s="13" t="s">
        <v>445</v>
      </c>
    </row>
    <row r="7" customFormat="false" ht="15" hidden="false" customHeight="false" outlineLevel="0" collapsed="false">
      <c r="A7" s="13" t="s">
        <v>440</v>
      </c>
      <c r="B7" s="14" t="s">
        <v>446</v>
      </c>
      <c r="C7" s="13" t="s">
        <v>447</v>
      </c>
    </row>
    <row r="8" customFormat="false" ht="29.85" hidden="false" customHeight="false" outlineLevel="0" collapsed="false">
      <c r="A8" s="13" t="s">
        <v>440</v>
      </c>
      <c r="B8" s="14" t="s">
        <v>448</v>
      </c>
      <c r="C8" s="13" t="s">
        <v>449</v>
      </c>
    </row>
    <row r="9" customFormat="false" ht="29.85" hidden="false" customHeight="false" outlineLevel="0" collapsed="false">
      <c r="A9" s="13" t="s">
        <v>440</v>
      </c>
      <c r="B9" s="14" t="s">
        <v>450</v>
      </c>
      <c r="C9" s="13" t="s">
        <v>451</v>
      </c>
    </row>
    <row r="10" customFormat="false" ht="29.85" hidden="false" customHeight="false" outlineLevel="0" collapsed="false">
      <c r="A10" s="13" t="s">
        <v>440</v>
      </c>
      <c r="B10" s="13" t="s">
        <v>452</v>
      </c>
      <c r="C10" s="13" t="s">
        <v>453</v>
      </c>
    </row>
    <row r="11" customFormat="false" ht="29.85" hidden="false" customHeight="false" outlineLevel="0" collapsed="false">
      <c r="A11" s="13" t="s">
        <v>440</v>
      </c>
      <c r="B11" s="13" t="s">
        <v>454</v>
      </c>
      <c r="C11" s="13" t="s">
        <v>455</v>
      </c>
    </row>
    <row r="12" customFormat="false" ht="29.85" hidden="false" customHeight="false" outlineLevel="0" collapsed="false">
      <c r="A12" s="13" t="s">
        <v>440</v>
      </c>
      <c r="B12" s="13" t="s">
        <v>456</v>
      </c>
      <c r="C12" s="13" t="s">
        <v>457</v>
      </c>
    </row>
    <row r="13" customFormat="false" ht="29.85" hidden="false" customHeight="false" outlineLevel="0" collapsed="false">
      <c r="A13" s="13" t="s">
        <v>440</v>
      </c>
      <c r="B13" s="14" t="s">
        <v>458</v>
      </c>
      <c r="C13" s="13" t="s">
        <v>459</v>
      </c>
    </row>
    <row r="14" customFormat="false" ht="29.85" hidden="false" customHeight="false" outlineLevel="0" collapsed="false">
      <c r="A14" s="13" t="s">
        <v>440</v>
      </c>
      <c r="B14" s="13" t="s">
        <v>460</v>
      </c>
      <c r="C14" s="13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2026-07-19T11:17:40Z</dcterms:created>
  <dc:creator>openpyxl</dc:creator>
  <dc:description/>
  <dc:language>en-US</dc:language>
  <cp:lastModifiedBy/>
  <dcterms:modified xsi:type="dcterms:W3CDTF">2026-07-19T11:17:40Z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